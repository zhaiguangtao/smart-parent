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-180" yWindow="285" windowWidth="15180" windowHeight="8325" tabRatio="522" activeTab="2"/>
  </bookViews>
  <sheets>
    <sheet name="发布计划" sheetId="7" r:id="rId1"/>
    <sheet name="Product Backlog" sheetId="8" r:id="rId2"/>
    <sheet name="燃尽图" sheetId="20" r:id="rId3"/>
    <sheet name="Sp1" sheetId="19" r:id="rId4"/>
    <sheet name="Sprint Sheet Template" sheetId="16" r:id="rId5"/>
    <sheet name="task slips" sheetId="21" r:id="rId6"/>
  </sheets>
  <definedNames>
    <definedName name="AverageSpeedLastEight">OFFSET(燃尽图!$P$27,1,0,燃尽图!$G$3,1)</definedName>
    <definedName name="AverageSpeedRealized">OFFSET(燃尽图!$O$27,1,0,燃尽图!$G$3,1)</definedName>
    <definedName name="AverageSpeedWorstThree">OFFSET(燃尽图!$Q$27,1,0,燃尽图!$G$3,1)</definedName>
    <definedName name="ColBottomCurrentScope">OFFSET(燃尽图!$I$27,1,0,燃尽图!$G$3,1)</definedName>
    <definedName name="ColTopRemainingWork">OFFSET(燃尽图!$F$27,1,0,燃尽图!$G$3,1)</definedName>
    <definedName name="DoneDays" localSheetId="3">'Sp1'!$D$11</definedName>
    <definedName name="DoneDays" localSheetId="4">'Sprint Sheet Template'!$D$11</definedName>
    <definedName name="DoneDays">#REF!</definedName>
    <definedName name="ImplementationDays" localSheetId="3">'Sp1'!$B$9</definedName>
    <definedName name="ImplementationDays" localSheetId="4">'Sprint Sheet Template'!$B$9</definedName>
    <definedName name="ImplementationDays">#REF!</definedName>
    <definedName name="LastEight">IF(燃尽图!$G$4&gt;8,OFFSET(燃尽图!$D$27,燃尽图!$G$4-7,0,8,1),OFFSET(燃尽图!$D$27,1,0,燃尽图!$G$4-1,1))</definedName>
    <definedName name="LastPlanned">IF(OFFSET(燃尽图!$B$27,1,0,1,1)="",1,OFFSET(燃尽图!$B$27,燃尽图!$G$3,0,1,1))</definedName>
    <definedName name="LastRealized">IF(OFFSET(燃尽图!$D$27,1,0,1,1)="",1,OFFSET(燃尽图!$D$27,燃尽图!$G$3,0,1,1))</definedName>
    <definedName name="PBCurrentBottom">OFFSET(燃尽图!$N$27,1,0,燃尽图!$G$9,1)</definedName>
    <definedName name="PBTrend">OFFSET(燃尽图!$M$27,1,0,燃尽图!$G$9,1)</definedName>
    <definedName name="PlannedSpeed">OFFSET(燃尽图!$C$27,1,0,燃尽图!$G$3,1)</definedName>
    <definedName name="_xlnm.Print_Area" localSheetId="1">'Product Backlog'!$A:$G</definedName>
    <definedName name="_xlnm.Print_Area" localSheetId="5">'task slips'!#REF!</definedName>
    <definedName name="ProductBacklog">'Product Backlog'!$A$4:$G$163</definedName>
    <definedName name="RealizedSpeed">OFFSET(燃尽图!$D$27,1,0,燃尽图!$G$3,1)</definedName>
    <definedName name="RealValues" localSheetId="3">OFFSET('Sp1'!$F$10,0,0,1,'Sp1'!DoneDays)</definedName>
    <definedName name="RealValues" localSheetId="4">OFFSET('Sprint Sheet Template'!$F$10,0,0,1,'Sprint Sheet Template'!DoneDays)</definedName>
    <definedName name="Sprint">'Product Backlog'!$E$5:$E$163</definedName>
    <definedName name="SprintCount">燃尽图!$G$3</definedName>
    <definedName name="SprintsInTrend">燃尽图!$G$6</definedName>
    <definedName name="SprintTasks" localSheetId="3">'Sp1'!$A$14:$AD$63</definedName>
    <definedName name="SprintTasks">'Sprint Sheet Template'!$A$14:$AD$63</definedName>
    <definedName name="Status">'Product Backlog'!$C$5:$C$163</definedName>
    <definedName name="StoryName">'Product Backlog'!$B$5:$B$163</definedName>
    <definedName name="TaskRows" localSheetId="3">'Sp1'!$B$11</definedName>
    <definedName name="TaskRows" localSheetId="4">'Sprint Sheet Template'!$B$11</definedName>
    <definedName name="TaskRows">#REF!</definedName>
    <definedName name="TaskStatus" localSheetId="3">'Sp1'!$D$14:$D$58</definedName>
    <definedName name="TaskStatus">'Sprint Sheet Template'!$D$14:$D$58</definedName>
    <definedName name="TaskStoryID" localSheetId="3">'Sp1'!$B$14:$B$53</definedName>
    <definedName name="TaskStoryID">'Sprint Sheet Template'!$B$14:$B$53</definedName>
    <definedName name="TotalEffort" localSheetId="3">'Sp1'!$E$10</definedName>
    <definedName name="TotalEffort" localSheetId="4">'Sprint Sheet Template'!$E$10</definedName>
    <definedName name="TotalEffort">#REF!</definedName>
    <definedName name="TrendDays" localSheetId="3">'Sp1'!$D$13</definedName>
    <definedName name="TrendDays">'Sprint Sheet Template'!$D$13</definedName>
    <definedName name="TrendOffset">燃尽图!$G$5</definedName>
    <definedName name="TrendSprintCount">燃尽图!$G$4</definedName>
  </definedNames>
  <calcPr calcId="145621" fullCalcOnLoad="1"/>
</workbook>
</file>

<file path=xl/calcChain.xml><?xml version="1.0" encoding="utf-8"?>
<calcChain xmlns="http://schemas.openxmlformats.org/spreadsheetml/2006/main">
  <c r="A29" i="21" l="1"/>
  <c r="A21" i="21"/>
  <c r="A13" i="21"/>
  <c r="A5" i="21"/>
  <c r="G4" i="20"/>
  <c r="D10" i="20"/>
  <c r="P29" i="20" s="1"/>
  <c r="E16" i="7"/>
  <c r="E17" i="7"/>
  <c r="E18" i="7"/>
  <c r="E19" i="7"/>
  <c r="E20" i="7"/>
  <c r="B17" i="7"/>
  <c r="D16" i="7"/>
  <c r="B29" i="20"/>
  <c r="B30" i="20" s="1"/>
  <c r="B28" i="20"/>
  <c r="F18" i="19"/>
  <c r="D18" i="19"/>
  <c r="F17" i="19"/>
  <c r="F16" i="19"/>
  <c r="F15" i="19"/>
  <c r="E21" i="7"/>
  <c r="F28" i="20"/>
  <c r="K28" i="20"/>
  <c r="I29" i="20"/>
  <c r="H29" i="20" s="1"/>
  <c r="F29" i="20"/>
  <c r="K29" i="20" s="1"/>
  <c r="G5" i="20"/>
  <c r="G6" i="20" s="1"/>
  <c r="G14" i="19"/>
  <c r="H14" i="19" s="1"/>
  <c r="D17" i="7"/>
  <c r="B18" i="7"/>
  <c r="F18" i="7"/>
  <c r="F19" i="7"/>
  <c r="F20" i="7" s="1"/>
  <c r="F21" i="7" s="1"/>
  <c r="B4" i="7"/>
  <c r="G17" i="20"/>
  <c r="D8" i="20"/>
  <c r="A18" i="20"/>
  <c r="A8" i="20"/>
  <c r="D15" i="20"/>
  <c r="D17" i="20"/>
  <c r="D16" i="20"/>
  <c r="E28" i="20"/>
  <c r="G28" i="20"/>
  <c r="H28" i="20"/>
  <c r="E31" i="7"/>
  <c r="B11" i="19"/>
  <c r="D19" i="19"/>
  <c r="F19" i="19"/>
  <c r="D20" i="19"/>
  <c r="F20" i="19"/>
  <c r="D21" i="19"/>
  <c r="F21" i="19"/>
  <c r="D22" i="19"/>
  <c r="F22" i="19"/>
  <c r="D23" i="19"/>
  <c r="F23" i="19"/>
  <c r="D24" i="19"/>
  <c r="F24" i="19"/>
  <c r="D25" i="19"/>
  <c r="F25" i="19"/>
  <c r="D26" i="19"/>
  <c r="F26" i="19"/>
  <c r="D27" i="19"/>
  <c r="F27" i="19"/>
  <c r="D28" i="19"/>
  <c r="F28" i="19"/>
  <c r="D29" i="19"/>
  <c r="F29" i="19"/>
  <c r="D30" i="19"/>
  <c r="F30" i="19"/>
  <c r="D31" i="19"/>
  <c r="F31" i="19"/>
  <c r="D32" i="19"/>
  <c r="F32" i="19"/>
  <c r="D33" i="19"/>
  <c r="F33" i="19"/>
  <c r="D34" i="19"/>
  <c r="F34" i="19"/>
  <c r="D35" i="19"/>
  <c r="F35" i="19"/>
  <c r="D36" i="19"/>
  <c r="F36" i="19"/>
  <c r="D37" i="19"/>
  <c r="F37" i="19"/>
  <c r="D38" i="19"/>
  <c r="F38" i="19"/>
  <c r="D39" i="19"/>
  <c r="F39" i="19"/>
  <c r="D40" i="19"/>
  <c r="F40" i="19"/>
  <c r="D41" i="19"/>
  <c r="F41" i="19"/>
  <c r="D64" i="19"/>
  <c r="B11" i="16"/>
  <c r="F15" i="16"/>
  <c r="F16" i="16"/>
  <c r="F17" i="16"/>
  <c r="F18" i="16"/>
  <c r="F10" i="16"/>
  <c r="E10" i="7"/>
  <c r="E9" i="7"/>
  <c r="E8" i="7"/>
  <c r="E7" i="7"/>
  <c r="E6" i="7"/>
  <c r="E5" i="7"/>
  <c r="C4" i="7"/>
  <c r="B5" i="7"/>
  <c r="C5" i="7"/>
  <c r="C6" i="7"/>
  <c r="D6" i="7"/>
  <c r="C7" i="7"/>
  <c r="D7" i="7" s="1"/>
  <c r="C8" i="7"/>
  <c r="D8" i="7"/>
  <c r="C9" i="7"/>
  <c r="D9" i="7" s="1"/>
  <c r="C10" i="7"/>
  <c r="D10" i="7"/>
  <c r="D4" i="7"/>
  <c r="E4" i="7"/>
  <c r="G14" i="16"/>
  <c r="H14" i="16"/>
  <c r="H58" i="16" s="1"/>
  <c r="I14" i="16"/>
  <c r="I59" i="16" s="1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E10" i="16"/>
  <c r="I11" i="16" s="1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G58" i="16"/>
  <c r="D59" i="16"/>
  <c r="F59" i="16"/>
  <c r="G59" i="16"/>
  <c r="H59" i="16"/>
  <c r="D64" i="16"/>
  <c r="F22" i="7"/>
  <c r="F23" i="7"/>
  <c r="F24" i="7" s="1"/>
  <c r="F25" i="7" s="1"/>
  <c r="F26" i="7" s="1"/>
  <c r="F27" i="7" s="1"/>
  <c r="F28" i="7" s="1"/>
  <c r="F29" i="7" s="1"/>
  <c r="F30" i="7" s="1"/>
  <c r="G29" i="20" l="1"/>
  <c r="E29" i="20"/>
  <c r="G41" i="19"/>
  <c r="I14" i="19"/>
  <c r="H40" i="19"/>
  <c r="H41" i="19"/>
  <c r="G40" i="19"/>
  <c r="F10" i="19"/>
  <c r="AB10" i="19"/>
  <c r="X10" i="19"/>
  <c r="T10" i="19"/>
  <c r="P10" i="19"/>
  <c r="L10" i="19"/>
  <c r="H10" i="19"/>
  <c r="W10" i="19"/>
  <c r="O10" i="19"/>
  <c r="G10" i="19"/>
  <c r="Y10" i="19"/>
  <c r="U10" i="19"/>
  <c r="Q10" i="19"/>
  <c r="M10" i="19"/>
  <c r="I10" i="19"/>
  <c r="E10" i="19"/>
  <c r="I11" i="19" s="1"/>
  <c r="AA10" i="19"/>
  <c r="S10" i="19"/>
  <c r="K10" i="19"/>
  <c r="Z10" i="19"/>
  <c r="V10" i="19"/>
  <c r="R10" i="19"/>
  <c r="N10" i="19"/>
  <c r="J10" i="19"/>
  <c r="P48" i="20"/>
  <c r="P36" i="20"/>
  <c r="P43" i="20"/>
  <c r="P28" i="20"/>
  <c r="P39" i="20"/>
  <c r="P47" i="20"/>
  <c r="P33" i="20"/>
  <c r="P49" i="20"/>
  <c r="P41" i="20"/>
  <c r="P32" i="20"/>
  <c r="P51" i="20"/>
  <c r="P44" i="20"/>
  <c r="P38" i="20"/>
  <c r="P31" i="20"/>
  <c r="P50" i="20"/>
  <c r="P46" i="20"/>
  <c r="P40" i="20"/>
  <c r="P35" i="20"/>
  <c r="P30" i="20"/>
  <c r="D11" i="16"/>
  <c r="P45" i="20"/>
  <c r="P42" i="20"/>
  <c r="P37" i="20"/>
  <c r="P34" i="20"/>
  <c r="D11" i="20"/>
  <c r="Q38" i="20" s="1"/>
  <c r="F11" i="16"/>
  <c r="G11" i="16"/>
  <c r="H11" i="16"/>
  <c r="D5" i="7"/>
  <c r="J14" i="16"/>
  <c r="I58" i="16"/>
  <c r="B19" i="7"/>
  <c r="D18" i="7"/>
  <c r="I30" i="20"/>
  <c r="B31" i="20"/>
  <c r="F30" i="20"/>
  <c r="E30" i="20"/>
  <c r="J14" i="19" l="1"/>
  <c r="I41" i="19"/>
  <c r="I40" i="19"/>
  <c r="J11" i="19"/>
  <c r="H11" i="19"/>
  <c r="G11" i="19"/>
  <c r="F11" i="19"/>
  <c r="Q32" i="20"/>
  <c r="Q28" i="20"/>
  <c r="Q42" i="20"/>
  <c r="F13" i="16"/>
  <c r="Q44" i="20"/>
  <c r="D13" i="16"/>
  <c r="Q31" i="20"/>
  <c r="Q39" i="20"/>
  <c r="Q47" i="20"/>
  <c r="Q49" i="20"/>
  <c r="Q33" i="20"/>
  <c r="Q51" i="20"/>
  <c r="Q29" i="20"/>
  <c r="Q37" i="20"/>
  <c r="Q45" i="20"/>
  <c r="Q35" i="20"/>
  <c r="Q43" i="20"/>
  <c r="Q48" i="20"/>
  <c r="Q41" i="20"/>
  <c r="Q40" i="20"/>
  <c r="Q50" i="20"/>
  <c r="Q34" i="20"/>
  <c r="Q36" i="20"/>
  <c r="Q46" i="20"/>
  <c r="Q30" i="20"/>
  <c r="K30" i="20"/>
  <c r="G30" i="20"/>
  <c r="B20" i="7"/>
  <c r="D19" i="7"/>
  <c r="N32" i="20"/>
  <c r="L32" i="20" s="1"/>
  <c r="N36" i="20"/>
  <c r="N40" i="20"/>
  <c r="N44" i="20"/>
  <c r="N48" i="20"/>
  <c r="L48" i="20" s="1"/>
  <c r="N28" i="20"/>
  <c r="N29" i="20"/>
  <c r="N30" i="20"/>
  <c r="N34" i="20"/>
  <c r="L34" i="20" s="1"/>
  <c r="N38" i="20"/>
  <c r="N42" i="20"/>
  <c r="N46" i="20"/>
  <c r="N50" i="20"/>
  <c r="L50" i="20" s="1"/>
  <c r="N31" i="20"/>
  <c r="N37" i="20"/>
  <c r="N45" i="20"/>
  <c r="N39" i="20"/>
  <c r="L39" i="20" s="1"/>
  <c r="N47" i="20"/>
  <c r="H30" i="20"/>
  <c r="N33" i="20"/>
  <c r="N41" i="20"/>
  <c r="L41" i="20" s="1"/>
  <c r="N49" i="20"/>
  <c r="N35" i="20"/>
  <c r="N43" i="20"/>
  <c r="N51" i="20"/>
  <c r="L51" i="20" s="1"/>
  <c r="M51" i="20" s="1"/>
  <c r="J11" i="16"/>
  <c r="J59" i="16"/>
  <c r="K14" i="16"/>
  <c r="J58" i="16"/>
  <c r="E31" i="20"/>
  <c r="B32" i="20"/>
  <c r="I31" i="20"/>
  <c r="H31" i="20" s="1"/>
  <c r="F31" i="20"/>
  <c r="L35" i="20" l="1"/>
  <c r="M35" i="20" s="1"/>
  <c r="L37" i="20"/>
  <c r="L42" i="20"/>
  <c r="M42" i="20" s="1"/>
  <c r="L29" i="20"/>
  <c r="L40" i="20"/>
  <c r="M41" i="20" s="1"/>
  <c r="K14" i="19"/>
  <c r="J41" i="19"/>
  <c r="J40" i="19"/>
  <c r="K12" i="16"/>
  <c r="R12" i="16"/>
  <c r="S12" i="16"/>
  <c r="AC12" i="16"/>
  <c r="W12" i="16"/>
  <c r="L12" i="16"/>
  <c r="U12" i="16"/>
  <c r="T12" i="16"/>
  <c r="V12" i="16"/>
  <c r="X12" i="16"/>
  <c r="AD12" i="16"/>
  <c r="Y12" i="16"/>
  <c r="AB12" i="16"/>
  <c r="H12" i="16"/>
  <c r="N12" i="16"/>
  <c r="AA12" i="16"/>
  <c r="F12" i="16"/>
  <c r="M12" i="16"/>
  <c r="Z12" i="16"/>
  <c r="G12" i="16"/>
  <c r="J12" i="16"/>
  <c r="I12" i="16"/>
  <c r="O12" i="16"/>
  <c r="P12" i="16"/>
  <c r="Q12" i="16"/>
  <c r="K31" i="20"/>
  <c r="G31" i="20"/>
  <c r="D20" i="7"/>
  <c r="B21" i="7"/>
  <c r="L14" i="16"/>
  <c r="K11" i="16"/>
  <c r="K59" i="16"/>
  <c r="K58" i="16"/>
  <c r="L43" i="20"/>
  <c r="L33" i="20"/>
  <c r="M33" i="20" s="1"/>
  <c r="L45" i="20"/>
  <c r="L46" i="20"/>
  <c r="L30" i="20"/>
  <c r="L44" i="20"/>
  <c r="I32" i="20"/>
  <c r="H32" i="20" s="1"/>
  <c r="E32" i="20"/>
  <c r="B33" i="20"/>
  <c r="F32" i="20"/>
  <c r="M40" i="20"/>
  <c r="L49" i="20"/>
  <c r="M49" i="20" s="1"/>
  <c r="L47" i="20"/>
  <c r="L31" i="20"/>
  <c r="L38" i="20"/>
  <c r="L28" i="20"/>
  <c r="M28" i="20" s="1"/>
  <c r="L36" i="20"/>
  <c r="M36" i="20" s="1"/>
  <c r="M43" i="20" l="1"/>
  <c r="M38" i="20"/>
  <c r="M30" i="20"/>
  <c r="L14" i="19"/>
  <c r="K40" i="19"/>
  <c r="K41" i="19"/>
  <c r="K11" i="19"/>
  <c r="M44" i="20"/>
  <c r="M50" i="20"/>
  <c r="M31" i="20"/>
  <c r="M29" i="20"/>
  <c r="D12" i="20" s="1"/>
  <c r="M45" i="20"/>
  <c r="K32" i="20"/>
  <c r="G32" i="20"/>
  <c r="M32" i="20"/>
  <c r="M39" i="20"/>
  <c r="M47" i="20"/>
  <c r="B34" i="20"/>
  <c r="I33" i="20"/>
  <c r="H33" i="20" s="1"/>
  <c r="E33" i="20"/>
  <c r="F33" i="20"/>
  <c r="L58" i="16"/>
  <c r="L11" i="16"/>
  <c r="L59" i="16"/>
  <c r="M14" i="16"/>
  <c r="M48" i="20"/>
  <c r="M37" i="20"/>
  <c r="M46" i="20"/>
  <c r="D21" i="7"/>
  <c r="B22" i="7"/>
  <c r="M34" i="20"/>
  <c r="M14" i="19" l="1"/>
  <c r="L40" i="19"/>
  <c r="L41" i="19"/>
  <c r="L11" i="19"/>
  <c r="D22" i="20"/>
  <c r="N14" i="16"/>
  <c r="M58" i="16"/>
  <c r="M11" i="16"/>
  <c r="M59" i="16"/>
  <c r="G33" i="20"/>
  <c r="K33" i="20"/>
  <c r="D22" i="7"/>
  <c r="A22" i="7"/>
  <c r="E22" i="7" s="1"/>
  <c r="B23" i="7"/>
  <c r="G9" i="20"/>
  <c r="E34" i="20"/>
  <c r="F34" i="20"/>
  <c r="B35" i="20"/>
  <c r="I34" i="20"/>
  <c r="H34" i="20" s="1"/>
  <c r="N14" i="19" l="1"/>
  <c r="M41" i="19"/>
  <c r="M40" i="19"/>
  <c r="M11" i="19"/>
  <c r="E35" i="20"/>
  <c r="B36" i="20"/>
  <c r="F35" i="20"/>
  <c r="I35" i="20"/>
  <c r="H35" i="20" s="1"/>
  <c r="D23" i="7"/>
  <c r="A23" i="7"/>
  <c r="E23" i="7" s="1"/>
  <c r="B24" i="7"/>
  <c r="N11" i="16"/>
  <c r="N59" i="16"/>
  <c r="O14" i="16"/>
  <c r="N58" i="16"/>
  <c r="K34" i="20"/>
  <c r="G34" i="20"/>
  <c r="N41" i="19" l="1"/>
  <c r="N40" i="19"/>
  <c r="N11" i="19"/>
  <c r="O14" i="19"/>
  <c r="O11" i="16"/>
  <c r="O59" i="16"/>
  <c r="P14" i="16"/>
  <c r="O58" i="16"/>
  <c r="I36" i="20"/>
  <c r="H36" i="20" s="1"/>
  <c r="E36" i="20"/>
  <c r="F36" i="20"/>
  <c r="B37" i="20"/>
  <c r="B25" i="7"/>
  <c r="A24" i="7"/>
  <c r="E24" i="7" s="1"/>
  <c r="D24" i="7"/>
  <c r="G35" i="20"/>
  <c r="K35" i="20"/>
  <c r="O40" i="19" l="1"/>
  <c r="P14" i="19"/>
  <c r="O41" i="19"/>
  <c r="O11" i="19"/>
  <c r="B38" i="20"/>
  <c r="E37" i="20"/>
  <c r="I37" i="20"/>
  <c r="H37" i="20" s="1"/>
  <c r="F37" i="20"/>
  <c r="K36" i="20"/>
  <c r="G36" i="20"/>
  <c r="P58" i="16"/>
  <c r="P11" i="16"/>
  <c r="P59" i="16"/>
  <c r="Q14" i="16"/>
  <c r="B26" i="7"/>
  <c r="A25" i="7"/>
  <c r="E25" i="7" s="1"/>
  <c r="D25" i="7"/>
  <c r="P11" i="19" l="1"/>
  <c r="P40" i="19"/>
  <c r="P41" i="19"/>
  <c r="Q14" i="19"/>
  <c r="K37" i="20"/>
  <c r="G37" i="20"/>
  <c r="D26" i="7"/>
  <c r="A26" i="7"/>
  <c r="E26" i="7" s="1"/>
  <c r="B27" i="7"/>
  <c r="R14" i="16"/>
  <c r="Q58" i="16"/>
  <c r="Q59" i="16"/>
  <c r="Q11" i="16"/>
  <c r="E38" i="20"/>
  <c r="F38" i="20"/>
  <c r="B39" i="20"/>
  <c r="I38" i="20"/>
  <c r="H38" i="20" s="1"/>
  <c r="R14" i="19" l="1"/>
  <c r="Q40" i="19"/>
  <c r="Q11" i="19"/>
  <c r="Q41" i="19"/>
  <c r="R11" i="16"/>
  <c r="R59" i="16"/>
  <c r="R58" i="16"/>
  <c r="S14" i="16"/>
  <c r="D27" i="7"/>
  <c r="B28" i="7"/>
  <c r="A27" i="7"/>
  <c r="E27" i="7" s="1"/>
  <c r="E39" i="20"/>
  <c r="B40" i="20"/>
  <c r="I39" i="20"/>
  <c r="H39" i="20" s="1"/>
  <c r="F39" i="20"/>
  <c r="G3" i="20"/>
  <c r="K38" i="20"/>
  <c r="G38" i="20"/>
  <c r="R41" i="19" l="1"/>
  <c r="S14" i="19"/>
  <c r="R11" i="19"/>
  <c r="R40" i="19"/>
  <c r="K39" i="20"/>
  <c r="G39" i="20"/>
  <c r="B29" i="7"/>
  <c r="A28" i="7"/>
  <c r="E28" i="7" s="1"/>
  <c r="D28" i="7"/>
  <c r="B41" i="20"/>
  <c r="I40" i="20"/>
  <c r="H40" i="20" s="1"/>
  <c r="F40" i="20"/>
  <c r="E40" i="20"/>
  <c r="D20" i="20"/>
  <c r="G20" i="20"/>
  <c r="D9" i="20"/>
  <c r="G19" i="20"/>
  <c r="D18" i="20"/>
  <c r="D21" i="20"/>
  <c r="T14" i="16"/>
  <c r="S11" i="16"/>
  <c r="S59" i="16"/>
  <c r="S58" i="16"/>
  <c r="S11" i="19" l="1"/>
  <c r="T14" i="19"/>
  <c r="S40" i="19"/>
  <c r="S41" i="19"/>
  <c r="T58" i="16"/>
  <c r="T11" i="16"/>
  <c r="T59" i="16"/>
  <c r="U14" i="16"/>
  <c r="K40" i="20"/>
  <c r="G40" i="20"/>
  <c r="B30" i="7"/>
  <c r="D29" i="7"/>
  <c r="A29" i="7"/>
  <c r="E29" i="7" s="1"/>
  <c r="E41" i="20"/>
  <c r="B42" i="20"/>
  <c r="I41" i="20"/>
  <c r="H41" i="20" s="1"/>
  <c r="F41" i="20"/>
  <c r="O32" i="20"/>
  <c r="O36" i="20"/>
  <c r="O40" i="20"/>
  <c r="O44" i="20"/>
  <c r="O48" i="20"/>
  <c r="O30" i="20"/>
  <c r="O34" i="20"/>
  <c r="O38" i="20"/>
  <c r="O42" i="20"/>
  <c r="O46" i="20"/>
  <c r="O29" i="20"/>
  <c r="O31" i="20"/>
  <c r="O33" i="20"/>
  <c r="O35" i="20"/>
  <c r="O37" i="20"/>
  <c r="O39" i="20"/>
  <c r="O41" i="20"/>
  <c r="O43" i="20"/>
  <c r="O45" i="20"/>
  <c r="O47" i="20"/>
  <c r="O50" i="20"/>
  <c r="D23" i="20"/>
  <c r="O49" i="20"/>
  <c r="D19" i="20"/>
  <c r="O51" i="20"/>
  <c r="O28" i="20"/>
  <c r="D24" i="20"/>
  <c r="U14" i="19" l="1"/>
  <c r="T11" i="19"/>
  <c r="T40" i="19"/>
  <c r="T41" i="19"/>
  <c r="V14" i="16"/>
  <c r="U58" i="16"/>
  <c r="U59" i="16"/>
  <c r="U11" i="16"/>
  <c r="B43" i="20"/>
  <c r="F42" i="20"/>
  <c r="I42" i="20"/>
  <c r="H42" i="20" s="1"/>
  <c r="E42" i="20"/>
  <c r="D30" i="7"/>
  <c r="A30" i="7"/>
  <c r="E30" i="7" s="1"/>
  <c r="K41" i="20"/>
  <c r="G41" i="20"/>
  <c r="V14" i="19" l="1"/>
  <c r="U11" i="19"/>
  <c r="U40" i="19"/>
  <c r="U41" i="19"/>
  <c r="G42" i="20"/>
  <c r="K42" i="20"/>
  <c r="E43" i="20"/>
  <c r="B44" i="20"/>
  <c r="F43" i="20"/>
  <c r="I43" i="20"/>
  <c r="H43" i="20" s="1"/>
  <c r="V11" i="16"/>
  <c r="V59" i="16"/>
  <c r="W14" i="16"/>
  <c r="V58" i="16"/>
  <c r="V41" i="19" l="1"/>
  <c r="W14" i="19"/>
  <c r="V11" i="19"/>
  <c r="V40" i="19"/>
  <c r="W11" i="16"/>
  <c r="W59" i="16"/>
  <c r="X14" i="16"/>
  <c r="W58" i="16"/>
  <c r="G43" i="20"/>
  <c r="K43" i="20"/>
  <c r="B45" i="20"/>
  <c r="I44" i="20"/>
  <c r="H44" i="20" s="1"/>
  <c r="F44" i="20"/>
  <c r="E44" i="20"/>
  <c r="W40" i="19" l="1"/>
  <c r="X14" i="19"/>
  <c r="W41" i="19"/>
  <c r="W11" i="19"/>
  <c r="K44" i="20"/>
  <c r="G44" i="20"/>
  <c r="E45" i="20"/>
  <c r="B46" i="20"/>
  <c r="I45" i="20"/>
  <c r="H45" i="20" s="1"/>
  <c r="F45" i="20"/>
  <c r="X58" i="16"/>
  <c r="X11" i="16"/>
  <c r="X59" i="16"/>
  <c r="Y14" i="16"/>
  <c r="X41" i="19" l="1"/>
  <c r="X11" i="19"/>
  <c r="Y14" i="19"/>
  <c r="X40" i="19"/>
  <c r="Z14" i="16"/>
  <c r="Y58" i="16"/>
  <c r="Y11" i="16"/>
  <c r="Y59" i="16"/>
  <c r="K45" i="20"/>
  <c r="G45" i="20"/>
  <c r="B47" i="20"/>
  <c r="F46" i="20"/>
  <c r="I46" i="20"/>
  <c r="H46" i="20" s="1"/>
  <c r="E46" i="20"/>
  <c r="Y41" i="19" l="1"/>
  <c r="Y11" i="19"/>
  <c r="Y40" i="19"/>
  <c r="Z14" i="19"/>
  <c r="E47" i="20"/>
  <c r="B48" i="20"/>
  <c r="I47" i="20"/>
  <c r="H47" i="20" s="1"/>
  <c r="F47" i="20"/>
  <c r="K46" i="20"/>
  <c r="G46" i="20"/>
  <c r="Z11" i="16"/>
  <c r="Z59" i="16"/>
  <c r="Z58" i="16"/>
  <c r="AA14" i="16"/>
  <c r="Z40" i="19" l="1"/>
  <c r="Z41" i="19"/>
  <c r="AA14" i="19"/>
  <c r="Z11" i="19"/>
  <c r="G47" i="20"/>
  <c r="K47" i="20"/>
  <c r="AB14" i="16"/>
  <c r="AA11" i="16"/>
  <c r="AA59" i="16"/>
  <c r="AA58" i="16"/>
  <c r="B49" i="20"/>
  <c r="I48" i="20"/>
  <c r="H48" i="20" s="1"/>
  <c r="F48" i="20"/>
  <c r="E48" i="20"/>
  <c r="AA40" i="19" l="1"/>
  <c r="AA11" i="19"/>
  <c r="AA41" i="19"/>
  <c r="AB14" i="19"/>
  <c r="G48" i="20"/>
  <c r="K48" i="20"/>
  <c r="E49" i="20"/>
  <c r="B50" i="20"/>
  <c r="I49" i="20"/>
  <c r="H49" i="20" s="1"/>
  <c r="F49" i="20"/>
  <c r="AB58" i="16"/>
  <c r="AB11" i="16"/>
  <c r="AB59" i="16"/>
  <c r="AC14" i="16"/>
  <c r="AB11" i="19" l="1"/>
  <c r="AB41" i="19"/>
  <c r="AB40" i="19"/>
  <c r="AC14" i="19"/>
  <c r="B51" i="20"/>
  <c r="F50" i="20"/>
  <c r="I50" i="20"/>
  <c r="H50" i="20" s="1"/>
  <c r="E50" i="20"/>
  <c r="AD14" i="16"/>
  <c r="AC16" i="16"/>
  <c r="AC58" i="16"/>
  <c r="AC17" i="16"/>
  <c r="AC27" i="16"/>
  <c r="AC39" i="16"/>
  <c r="AC51" i="16"/>
  <c r="AC55" i="16"/>
  <c r="AC59" i="16"/>
  <c r="AC11" i="16"/>
  <c r="AC22" i="16"/>
  <c r="AC26" i="16"/>
  <c r="AC30" i="16"/>
  <c r="AC34" i="16"/>
  <c r="AC38" i="16"/>
  <c r="AC42" i="16"/>
  <c r="AC46" i="16"/>
  <c r="AC50" i="16"/>
  <c r="AC54" i="16"/>
  <c r="AC21" i="16"/>
  <c r="AC25" i="16"/>
  <c r="AC29" i="16"/>
  <c r="AC33" i="16"/>
  <c r="AC37" i="16"/>
  <c r="AC41" i="16"/>
  <c r="AC45" i="16"/>
  <c r="AC49" i="16"/>
  <c r="AC53" i="16"/>
  <c r="AC57" i="16"/>
  <c r="AC20" i="16"/>
  <c r="AC24" i="16"/>
  <c r="AC28" i="16"/>
  <c r="AC32" i="16"/>
  <c r="AC36" i="16"/>
  <c r="AC40" i="16"/>
  <c r="AC44" i="16"/>
  <c r="AC48" i="16"/>
  <c r="AC52" i="16"/>
  <c r="AC56" i="16"/>
  <c r="AC18" i="16"/>
  <c r="AC19" i="16"/>
  <c r="AC23" i="16"/>
  <c r="AC31" i="16"/>
  <c r="AC35" i="16"/>
  <c r="AC43" i="16"/>
  <c r="AC47" i="16"/>
  <c r="K49" i="20"/>
  <c r="G49" i="20"/>
  <c r="AD14" i="19" l="1"/>
  <c r="AC44" i="19"/>
  <c r="AC19" i="19"/>
  <c r="AC23" i="19"/>
  <c r="AC27" i="19"/>
  <c r="AC31" i="19"/>
  <c r="AC35" i="19"/>
  <c r="AC39" i="19"/>
  <c r="AC45" i="19"/>
  <c r="AC43" i="19"/>
  <c r="AC46" i="19"/>
  <c r="AC55" i="19"/>
  <c r="AC62" i="19"/>
  <c r="AC50" i="19"/>
  <c r="AC20" i="19"/>
  <c r="AC24" i="19"/>
  <c r="AC28" i="19"/>
  <c r="AC32" i="19"/>
  <c r="AC36" i="19"/>
  <c r="AC60" i="19"/>
  <c r="AC52" i="19"/>
  <c r="AC51" i="19"/>
  <c r="AC53" i="19"/>
  <c r="AC41" i="19"/>
  <c r="AC47" i="19"/>
  <c r="AC54" i="19"/>
  <c r="AC21" i="19"/>
  <c r="AC25" i="19"/>
  <c r="AC29" i="19"/>
  <c r="AC33" i="19"/>
  <c r="AC37" i="19"/>
  <c r="AC63" i="19"/>
  <c r="AC40" i="19"/>
  <c r="AC56" i="19"/>
  <c r="AC42" i="19"/>
  <c r="AC61" i="19"/>
  <c r="AC57" i="19"/>
  <c r="AC22" i="19"/>
  <c r="AC26" i="19"/>
  <c r="AC30" i="19"/>
  <c r="AC34" i="19"/>
  <c r="AC38" i="19"/>
  <c r="AC59" i="19"/>
  <c r="AC11" i="19"/>
  <c r="AC17" i="19"/>
  <c r="AC10" i="19" s="1"/>
  <c r="AC49" i="19"/>
  <c r="K50" i="20"/>
  <c r="G50" i="20"/>
  <c r="AD11" i="16"/>
  <c r="AD19" i="16"/>
  <c r="AD20" i="16"/>
  <c r="AD21" i="16"/>
  <c r="AD22" i="16"/>
  <c r="AD23" i="16"/>
  <c r="AD24" i="16"/>
  <c r="AD25" i="16"/>
  <c r="AD26" i="16"/>
  <c r="AD27" i="16"/>
  <c r="AD28" i="16"/>
  <c r="AD29" i="16"/>
  <c r="AD30" i="16"/>
  <c r="AD31" i="16"/>
  <c r="AD32" i="16"/>
  <c r="AD33" i="16"/>
  <c r="AD34" i="16"/>
  <c r="AD35" i="16"/>
  <c r="AD36" i="16"/>
  <c r="AD37" i="16"/>
  <c r="AD38" i="16"/>
  <c r="AD39" i="16"/>
  <c r="AD40" i="16"/>
  <c r="AD41" i="16"/>
  <c r="AD42" i="16"/>
  <c r="AD43" i="16"/>
  <c r="AD44" i="16"/>
  <c r="AD45" i="16"/>
  <c r="AD46" i="16"/>
  <c r="AD47" i="16"/>
  <c r="AD48" i="16"/>
  <c r="AD49" i="16"/>
  <c r="AD50" i="16"/>
  <c r="AD51" i="16"/>
  <c r="AD52" i="16"/>
  <c r="AD53" i="16"/>
  <c r="AD54" i="16"/>
  <c r="AD55" i="16"/>
  <c r="AD56" i="16"/>
  <c r="AD57" i="16"/>
  <c r="AD59" i="16"/>
  <c r="AD17" i="16"/>
  <c r="AD16" i="16"/>
  <c r="AD58" i="16"/>
  <c r="AD18" i="16"/>
  <c r="E51" i="20"/>
  <c r="F51" i="20"/>
  <c r="I51" i="20"/>
  <c r="H51" i="20" s="1"/>
  <c r="AD63" i="19" l="1"/>
  <c r="AD60" i="19"/>
  <c r="AD55" i="19"/>
  <c r="AD53" i="19"/>
  <c r="AD30" i="19"/>
  <c r="AD56" i="19"/>
  <c r="AD44" i="19"/>
  <c r="AD27" i="19"/>
  <c r="AD42" i="19"/>
  <c r="AD25" i="19"/>
  <c r="AD40" i="19"/>
  <c r="AD41" i="19"/>
  <c r="AD61" i="19"/>
  <c r="AD17" i="19"/>
  <c r="AD10" i="19" s="1"/>
  <c r="D11" i="19" s="1"/>
  <c r="AD11" i="19"/>
  <c r="AD57" i="19"/>
  <c r="AD34" i="19"/>
  <c r="AD28" i="19"/>
  <c r="AD52" i="19"/>
  <c r="AD31" i="19"/>
  <c r="AD49" i="19"/>
  <c r="AD29" i="19"/>
  <c r="AD50" i="19"/>
  <c r="AD59" i="19"/>
  <c r="AD45" i="19"/>
  <c r="AD47" i="19"/>
  <c r="AD22" i="19"/>
  <c r="AD38" i="19"/>
  <c r="AD32" i="19"/>
  <c r="AD19" i="19"/>
  <c r="AD35" i="19"/>
  <c r="AD54" i="19"/>
  <c r="AD33" i="19"/>
  <c r="AD20" i="19"/>
  <c r="AD62" i="19"/>
  <c r="AD51" i="19"/>
  <c r="AD46" i="19"/>
  <c r="AD26" i="19"/>
  <c r="AD43" i="19"/>
  <c r="AD36" i="19"/>
  <c r="AD23" i="19"/>
  <c r="AD39" i="19"/>
  <c r="AD21" i="19"/>
  <c r="AD37" i="19"/>
  <c r="AD24" i="19"/>
  <c r="K51" i="20"/>
  <c r="G51" i="20"/>
  <c r="F13" i="19" l="1"/>
  <c r="D13" i="19"/>
  <c r="AD12" i="19" l="1"/>
  <c r="S12" i="19"/>
  <c r="AA12" i="19"/>
  <c r="L12" i="19"/>
  <c r="Z12" i="19"/>
  <c r="P12" i="19"/>
  <c r="N12" i="19"/>
  <c r="I12" i="19"/>
  <c r="U12" i="19"/>
  <c r="H12" i="19"/>
  <c r="X12" i="19"/>
  <c r="J12" i="19"/>
  <c r="AB12" i="19"/>
  <c r="M12" i="19"/>
  <c r="V12" i="19"/>
  <c r="K12" i="19"/>
  <c r="R12" i="19"/>
  <c r="W12" i="19"/>
  <c r="Y12" i="19"/>
  <c r="Q12" i="19"/>
  <c r="O12" i="19"/>
  <c r="F12" i="19"/>
  <c r="AC12" i="19"/>
  <c r="T12" i="19"/>
  <c r="G12" i="19"/>
</calcChain>
</file>

<file path=xl/comments1.xml><?xml version="1.0" encoding="utf-8"?>
<comments xmlns="http://schemas.openxmlformats.org/spreadsheetml/2006/main">
  <authors>
    <author>Petri Heiramo</author>
  </authors>
  <commentList>
    <comment ref="A4" author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B15" author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<sst xmlns="http://schemas.openxmlformats.org/spreadsheetml/2006/main" count="182" uniqueCount="128">
  <si>
    <t>Status</t>
  </si>
  <si>
    <t>Product Backlog</t>
  </si>
  <si>
    <t>Task name</t>
  </si>
  <si>
    <t>Responsible</t>
  </si>
  <si>
    <t>Effort</t>
  </si>
  <si>
    <t>Est.</t>
  </si>
  <si>
    <t>Remaining on implementation day…</t>
  </si>
  <si>
    <t>Sprint implementation days</t>
  </si>
  <si>
    <t>Sprint</t>
  </si>
  <si>
    <t>Totals</t>
  </si>
  <si>
    <t>Planned</t>
  </si>
  <si>
    <t>Unallocated stories</t>
  </si>
  <si>
    <t>Story ID</t>
  </si>
  <si>
    <t>Task rows</t>
  </si>
  <si>
    <t>Done days</t>
  </si>
  <si>
    <t>Trend</t>
  </si>
  <si>
    <t>Trend Days</t>
  </si>
  <si>
    <t>Warning! These are necessary</t>
  </si>
  <si>
    <t>template rows</t>
  </si>
  <si>
    <t>Trend calculated based on last</t>
  </si>
  <si>
    <t>Days</t>
  </si>
  <si>
    <t>Template note: Increment plan is intended to collect individual sprints into larger releases. In smaller projects, this is not needed.</t>
  </si>
  <si>
    <t>Realized</t>
  </si>
  <si>
    <t>Col top</t>
  </si>
  <si>
    <t>Col bottom</t>
  </si>
  <si>
    <t>Do not delete…</t>
  </si>
  <si>
    <t>Sprint count</t>
  </si>
  <si>
    <t>Trend offset</t>
  </si>
  <si>
    <t>Sprints in Trend</t>
  </si>
  <si>
    <t>Current Bottom</t>
  </si>
  <si>
    <t>Real Trend</t>
  </si>
  <si>
    <t>Original estimate</t>
  </si>
  <si>
    <t>Realized average</t>
  </si>
  <si>
    <t>Average last 8</t>
  </si>
  <si>
    <t>Avg. worst 3 in last 8</t>
  </si>
  <si>
    <t>Raw Trend</t>
  </si>
  <si>
    <t>Trend count</t>
  </si>
  <si>
    <t>These hidden cells are used to draw the graph on this page. DO NOT DELETE!</t>
  </si>
  <si>
    <t>Predictions - Completion at the end of sprint…</t>
  </si>
  <si>
    <t>Original estimate - Min</t>
  </si>
  <si>
    <t>Original estimate - Max</t>
  </si>
  <si>
    <t>Original estimate - Avg</t>
  </si>
  <si>
    <t>Trend Help</t>
  </si>
  <si>
    <t>Trend sprint count</t>
  </si>
  <si>
    <t>Realized total average</t>
  </si>
  <si>
    <t>Standard Dev.</t>
  </si>
  <si>
    <t>Realized + St. Dev</t>
  </si>
  <si>
    <t>Realized - St. Dev</t>
  </si>
  <si>
    <t>LastPlanned</t>
  </si>
  <si>
    <t>LastRealized</t>
  </si>
  <si>
    <t>Remain.Work</t>
  </si>
  <si>
    <t>Planned Work</t>
  </si>
  <si>
    <t>Realized Work</t>
  </si>
  <si>
    <t>Current Total Size</t>
  </si>
  <si>
    <t>Average Speeds</t>
  </si>
  <si>
    <t>Last 8</t>
  </si>
  <si>
    <t>Worst 3 in Last 8</t>
  </si>
  <si>
    <t>Velocity (points per sprint)</t>
  </si>
  <si>
    <t>Specification and prototype development</t>
  </si>
  <si>
    <t>Specification and prototype development, documentation</t>
  </si>
  <si>
    <t>Usability test, documentation, prototype corrections</t>
  </si>
  <si>
    <t>Planning</t>
  </si>
  <si>
    <t xml:space="preserve"> </t>
  </si>
  <si>
    <t>Done</t>
  </si>
  <si>
    <t>Example task</t>
  </si>
  <si>
    <t>Example task 2</t>
  </si>
  <si>
    <t>Ongoing</t>
  </si>
  <si>
    <t>Example task 3</t>
  </si>
  <si>
    <t>&lt;Delete these example lines&gt;</t>
  </si>
  <si>
    <t>Danny Dev</t>
  </si>
  <si>
    <t>Tina Tester</t>
  </si>
  <si>
    <t>This is a removed story</t>
  </si>
  <si>
    <t>Removed</t>
  </si>
  <si>
    <t>Note:</t>
  </si>
  <si>
    <t xml:space="preserve">In this chart, the tops of the bars show the amount of actual </t>
  </si>
  <si>
    <t>in the project increases, the bottoms move lower). The length</t>
  </si>
  <si>
    <t>of the bars indicate the estimated size of the project at the</t>
  </si>
  <si>
    <t xml:space="preserve">(or planned) implemented functionality at the beginning of each sprint. </t>
  </si>
  <si>
    <t>The bottoms of the bars show the changes in project scope</t>
  </si>
  <si>
    <t>(i.e. if the amount of story points</t>
  </si>
  <si>
    <t xml:space="preserve">beginning of each sprint. </t>
  </si>
  <si>
    <t>The red line indicates the current planned scope.</t>
  </si>
  <si>
    <t>Initial 
Estimate</t>
  </si>
  <si>
    <t>Story ID:</t>
  </si>
  <si>
    <t>Story:</t>
  </si>
  <si>
    <t>Task:</t>
  </si>
  <si>
    <t>Work 
Left</t>
  </si>
  <si>
    <t>Work 
Done</t>
  </si>
  <si>
    <r>
      <t xml:space="preserve">Sprint </t>
    </r>
    <r>
      <rPr>
        <sz val="14"/>
        <rFont val="宋体"/>
        <family val="3"/>
        <charset val="134"/>
      </rPr>
      <t>计划</t>
    </r>
    <phoneticPr fontId="2" type="noConversion"/>
  </si>
  <si>
    <t>增量（分期）计划</t>
    <phoneticPr fontId="2" type="noConversion"/>
  </si>
  <si>
    <t>分期</t>
    <phoneticPr fontId="2" type="noConversion"/>
  </si>
  <si>
    <t>分期</t>
    <phoneticPr fontId="2" type="noConversion"/>
  </si>
  <si>
    <t>开始时间</t>
    <phoneticPr fontId="2" type="noConversion"/>
  </si>
  <si>
    <t>结束时间</t>
    <phoneticPr fontId="2" type="noConversion"/>
  </si>
  <si>
    <t>工期</t>
    <phoneticPr fontId="2" type="noConversion"/>
  </si>
  <si>
    <t>大小</t>
    <phoneticPr fontId="2" type="noConversion"/>
  </si>
  <si>
    <t>状态</t>
    <phoneticPr fontId="2" type="noConversion"/>
  </si>
  <si>
    <t>发布日期</t>
    <phoneticPr fontId="2" type="noConversion"/>
  </si>
  <si>
    <t>目标</t>
    <phoneticPr fontId="2" type="noConversion"/>
  </si>
  <si>
    <t>日期</t>
    <phoneticPr fontId="2" type="noConversion"/>
  </si>
  <si>
    <t>结束时间</t>
    <phoneticPr fontId="2" type="noConversion"/>
  </si>
  <si>
    <r>
      <rPr>
        <b/>
        <sz val="10"/>
        <rFont val="宋体"/>
        <family val="3"/>
        <charset val="134"/>
      </rPr>
      <t>故事</t>
    </r>
    <r>
      <rPr>
        <b/>
        <sz val="10"/>
        <rFont val="Arial"/>
        <family val="2"/>
      </rPr>
      <t>ID</t>
    </r>
    <phoneticPr fontId="2" type="noConversion"/>
  </si>
  <si>
    <t>故事描述</t>
    <phoneticPr fontId="2" type="noConversion"/>
  </si>
  <si>
    <t>状态</t>
    <phoneticPr fontId="2" type="noConversion"/>
  </si>
  <si>
    <t>大小</t>
    <phoneticPr fontId="2" type="noConversion"/>
  </si>
  <si>
    <t>优先级</t>
    <phoneticPr fontId="2" type="noConversion"/>
  </si>
  <si>
    <t>说明</t>
    <phoneticPr fontId="2" type="noConversion"/>
  </si>
  <si>
    <t>可以在此处增加详细说明。对于复杂的描述可以配以其他描述文档</t>
    <phoneticPr fontId="2" type="noConversion"/>
  </si>
  <si>
    <r>
      <t xml:space="preserve">Sprint </t>
    </r>
    <r>
      <rPr>
        <b/>
        <sz val="10"/>
        <rFont val="宋体"/>
        <family val="3"/>
        <charset val="134"/>
      </rPr>
      <t>实施天数</t>
    </r>
    <phoneticPr fontId="2" type="noConversion"/>
  </si>
  <si>
    <t>基于过去多少天的趋势计算</t>
    <phoneticPr fontId="2" type="noConversion"/>
  </si>
  <si>
    <t>天</t>
    <phoneticPr fontId="2" type="noConversion"/>
  </si>
  <si>
    <t>故事1</t>
  </si>
  <si>
    <t>故事1</t>
    <phoneticPr fontId="2" type="noConversion"/>
  </si>
  <si>
    <t>故事2</t>
  </si>
  <si>
    <t>故事3</t>
  </si>
  <si>
    <t>故事4</t>
  </si>
  <si>
    <t>故事5，未分配</t>
    <phoneticPr fontId="2" type="noConversion"/>
  </si>
  <si>
    <t>任务名称</t>
    <phoneticPr fontId="2" type="noConversion"/>
  </si>
  <si>
    <r>
      <rPr>
        <b/>
        <sz val="10"/>
        <rFont val="宋体"/>
        <family val="3"/>
        <charset val="134"/>
      </rPr>
      <t>故事</t>
    </r>
    <r>
      <rPr>
        <b/>
        <sz val="10"/>
        <rFont val="Arial"/>
        <family val="2"/>
      </rPr>
      <t>ID</t>
    </r>
    <phoneticPr fontId="2" type="noConversion"/>
  </si>
  <si>
    <t>负责人</t>
    <phoneticPr fontId="2" type="noConversion"/>
  </si>
  <si>
    <t>合计</t>
    <phoneticPr fontId="2" type="noConversion"/>
  </si>
  <si>
    <t>工作量</t>
    <phoneticPr fontId="2" type="noConversion"/>
  </si>
  <si>
    <t>剩余工作量</t>
    <phoneticPr fontId="2" type="noConversion"/>
  </si>
  <si>
    <t>预计</t>
    <phoneticPr fontId="2" type="noConversion"/>
  </si>
  <si>
    <r>
      <t xml:space="preserve">Product Backlog </t>
    </r>
    <r>
      <rPr>
        <sz val="14"/>
        <rFont val="宋体"/>
        <family val="3"/>
        <charset val="134"/>
      </rPr>
      <t>燃尽图</t>
    </r>
    <phoneticPr fontId="2" type="noConversion"/>
  </si>
  <si>
    <t>原始计划大小</t>
    <phoneticPr fontId="2" type="noConversion"/>
  </si>
  <si>
    <t>从最进</t>
    <phoneticPr fontId="2" type="noConversion"/>
  </si>
  <si>
    <r>
      <rPr>
        <sz val="10"/>
        <rFont val="宋体"/>
        <family val="3"/>
        <charset val="134"/>
      </rPr>
      <t>个</t>
    </r>
    <r>
      <rPr>
        <sz val="10"/>
        <rFont val="Arial"/>
      </rPr>
      <t>sprints</t>
    </r>
    <r>
      <rPr>
        <sz val="10"/>
        <rFont val="宋体"/>
        <family val="3"/>
        <charset val="134"/>
      </rPr>
      <t>计算趋势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</si>
</sst>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207" formatCode="d\.m\.yyyy;@"/>
    <numFmt numFmtId="208" formatCode="0.0"/>
    <numFmt numFmtId="209" formatCode="&quot;Sprint &quot;#&quot; Backlog&quot;"/>
    <numFmt numFmtId="210" formatCode="&quot;Last &quot;###&quot; sprints&quot;"/>
  </numFmts>
  <fonts count="15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b/>
      <sz val="14"/>
      <name val="Arial"/>
      <family val="2"/>
    </font>
    <font>
      <sz val="14"/>
      <name val="宋体"/>
      <family val="3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3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209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209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207" fontId="0" fillId="2" borderId="0" xfId="0" applyNumberFormat="1" applyFill="1" applyBorder="1" applyAlignment="1">
      <alignment horizontal="center"/>
    </xf>
    <xf numFmtId="207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207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207" fontId="0" fillId="0" borderId="11" xfId="0" applyNumberFormat="1" applyBorder="1" applyAlignment="1">
      <alignment horizontal="center"/>
    </xf>
    <xf numFmtId="207" fontId="0" fillId="0" borderId="0" xfId="0" applyNumberFormat="1" applyBorder="1" applyAlignment="1">
      <alignment horizontal="center"/>
    </xf>
    <xf numFmtId="207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208" fontId="0" fillId="3" borderId="0" xfId="0" applyNumberFormat="1" applyFill="1"/>
    <xf numFmtId="1" fontId="0" fillId="3" borderId="0" xfId="0" applyNumberFormat="1" applyFill="1"/>
    <xf numFmtId="0" fontId="1" fillId="2" borderId="0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208" fontId="0" fillId="0" borderId="0" xfId="0" applyNumberFormat="1"/>
    <xf numFmtId="209" fontId="4" fillId="0" borderId="0" xfId="0" applyNumberFormat="1" applyFont="1" applyAlignment="1">
      <alignment horizontal="left" vertical="top"/>
    </xf>
    <xf numFmtId="209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0" fillId="0" borderId="6" xfId="0" applyBorder="1" applyAlignment="1">
      <alignment vertical="top"/>
    </xf>
    <xf numFmtId="0" fontId="0" fillId="0" borderId="11" xfId="0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6" xfId="0" applyBorder="1" applyAlignment="1">
      <alignment vertical="top"/>
    </xf>
    <xf numFmtId="0" fontId="0" fillId="0" borderId="17" xfId="0" applyBorder="1" applyAlignment="1">
      <alignment vertical="top"/>
    </xf>
    <xf numFmtId="0" fontId="0" fillId="0" borderId="18" xfId="0" applyBorder="1" applyAlignment="1">
      <alignment vertical="top"/>
    </xf>
    <xf numFmtId="0" fontId="0" fillId="0" borderId="19" xfId="0" applyBorder="1" applyAlignment="1">
      <alignment vertical="top"/>
    </xf>
    <xf numFmtId="0" fontId="0" fillId="0" borderId="20" xfId="0" applyBorder="1" applyAlignment="1">
      <alignment vertical="top"/>
    </xf>
    <xf numFmtId="0" fontId="0" fillId="0" borderId="21" xfId="0" applyBorder="1" applyAlignment="1">
      <alignment vertical="top"/>
    </xf>
    <xf numFmtId="0" fontId="0" fillId="0" borderId="22" xfId="0" applyBorder="1" applyAlignment="1">
      <alignment vertical="top"/>
    </xf>
    <xf numFmtId="0" fontId="0" fillId="0" borderId="23" xfId="0" applyBorder="1" applyAlignment="1">
      <alignment vertical="top"/>
    </xf>
    <xf numFmtId="0" fontId="0" fillId="0" borderId="24" xfId="0" applyBorder="1" applyAlignment="1">
      <alignment vertical="top"/>
    </xf>
    <xf numFmtId="0" fontId="0" fillId="0" borderId="25" xfId="0" applyBorder="1" applyAlignment="1">
      <alignment vertical="top"/>
    </xf>
    <xf numFmtId="0" fontId="0" fillId="0" borderId="26" xfId="0" applyBorder="1" applyAlignment="1">
      <alignment vertical="top" wrapText="1"/>
    </xf>
    <xf numFmtId="0" fontId="0" fillId="0" borderId="27" xfId="0" applyBorder="1" applyAlignment="1">
      <alignment vertical="top"/>
    </xf>
    <xf numFmtId="0" fontId="0" fillId="0" borderId="28" xfId="0" applyBorder="1" applyAlignment="1">
      <alignment vertical="top" wrapText="1"/>
    </xf>
    <xf numFmtId="0" fontId="0" fillId="0" borderId="29" xfId="0" applyBorder="1" applyAlignment="1">
      <alignment vertical="top"/>
    </xf>
    <xf numFmtId="0" fontId="0" fillId="0" borderId="30" xfId="0" applyBorder="1" applyAlignment="1">
      <alignment vertical="top"/>
    </xf>
    <xf numFmtId="0" fontId="0" fillId="0" borderId="31" xfId="0" applyBorder="1" applyAlignment="1">
      <alignment vertical="top"/>
    </xf>
    <xf numFmtId="0" fontId="1" fillId="0" borderId="32" xfId="0" applyFont="1" applyBorder="1" applyAlignment="1">
      <alignment horizontal="center" vertical="top"/>
    </xf>
    <xf numFmtId="0" fontId="10" fillId="0" borderId="27" xfId="0" applyFont="1" applyBorder="1" applyAlignment="1">
      <alignment horizontal="center" vertical="center"/>
    </xf>
    <xf numFmtId="210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  <xf numFmtId="0" fontId="11" fillId="0" borderId="0" xfId="0" applyFont="1"/>
    <xf numFmtId="0" fontId="4" fillId="0" borderId="0" xfId="0" applyFont="1"/>
    <xf numFmtId="0" fontId="12" fillId="0" borderId="5" xfId="0" applyFont="1" applyBorder="1" applyAlignment="1">
      <alignment horizontal="center"/>
    </xf>
    <xf numFmtId="0" fontId="12" fillId="0" borderId="15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6" xfId="0" applyFont="1" applyBorder="1"/>
    <xf numFmtId="0" fontId="12" fillId="0" borderId="7" xfId="0" applyFont="1" applyBorder="1"/>
    <xf numFmtId="0" fontId="12" fillId="0" borderId="2" xfId="0" applyFont="1" applyBorder="1"/>
    <xf numFmtId="0" fontId="12" fillId="2" borderId="14" xfId="0" applyFont="1" applyFill="1" applyBorder="1" applyAlignment="1">
      <alignment vertical="top" wrapText="1"/>
    </xf>
    <xf numFmtId="0" fontId="12" fillId="2" borderId="14" xfId="0" applyFont="1" applyFill="1" applyBorder="1" applyAlignment="1">
      <alignment horizontal="center" vertical="top"/>
    </xf>
    <xf numFmtId="0" fontId="13" fillId="0" borderId="0" xfId="0" applyFont="1" applyAlignment="1">
      <alignment vertical="top" wrapText="1"/>
    </xf>
    <xf numFmtId="0" fontId="12" fillId="2" borderId="0" xfId="0" applyFont="1" applyFill="1" applyAlignment="1">
      <alignment vertical="top"/>
    </xf>
    <xf numFmtId="0" fontId="12" fillId="2" borderId="0" xfId="0" applyFont="1" applyFill="1" applyAlignment="1">
      <alignment horizontal="center" vertical="top"/>
    </xf>
    <xf numFmtId="0" fontId="1" fillId="2" borderId="0" xfId="0" applyFont="1" applyFill="1" applyBorder="1" applyAlignment="1">
      <alignment horizontal="center"/>
    </xf>
    <xf numFmtId="0" fontId="1" fillId="2" borderId="0" xfId="0" applyFont="1" applyFill="1" applyBorder="1" applyAlignment="1">
      <alignment wrapText="1"/>
    </xf>
    <xf numFmtId="0" fontId="0" fillId="3" borderId="33" xfId="0" applyFill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33" xfId="0" applyBorder="1"/>
    <xf numFmtId="0" fontId="4" fillId="0" borderId="0" xfId="0" applyFont="1" applyAlignment="1">
      <alignment vertical="top"/>
    </xf>
    <xf numFmtId="0" fontId="13" fillId="0" borderId="0" xfId="0" applyFont="1"/>
    <xf numFmtId="0" fontId="14" fillId="0" borderId="0" xfId="0" applyFont="1"/>
  </cellXfs>
  <cellStyles count="1">
    <cellStyle name="常规" xfId="0" builtinId="0"/>
  </cellStyles>
  <dxfs count="28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 altLang="en-US"/>
              <a:t>Velocity and Remaining Work</a:t>
            </a:r>
          </a:p>
        </c:rich>
      </c:tx>
      <c:layout>
        <c:manualLayout>
          <c:xMode val="edge"/>
          <c:yMode val="edge"/>
          <c:x val="0.20739240506329115"/>
          <c:y val="1.58228092594338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5"/>
                <c:pt idx="0">
                  <c:v>137</c:v>
                </c:pt>
                <c:pt idx="1">
                  <c:v>114</c:v>
                </c:pt>
                <c:pt idx="2">
                  <c:v>87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5"/>
                <c:pt idx="0">
                  <c:v>137</c:v>
                </c:pt>
                <c:pt idx="1">
                  <c:v>114</c:v>
                </c:pt>
                <c:pt idx="2">
                  <c:v>87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56</c:v>
                </c:pt>
                <c:pt idx="4">
                  <c:v>28</c:v>
                </c:pt>
              </c:numCache>
            </c:numRef>
          </c:val>
          <c:smooth val="0"/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7"/>
                <c:pt idx="0">
                  <c:v>137.66666666666669</c:v>
                </c:pt>
                <c:pt idx="1">
                  <c:v>112.66666666666669</c:v>
                </c:pt>
                <c:pt idx="2">
                  <c:v>87.666666666666686</c:v>
                </c:pt>
                <c:pt idx="3">
                  <c:v>62.666666666666686</c:v>
                </c:pt>
                <c:pt idx="4">
                  <c:v>37.666666666666686</c:v>
                </c:pt>
                <c:pt idx="5">
                  <c:v>12.666666666666686</c:v>
                </c:pt>
                <c:pt idx="6">
                  <c:v>0</c:v>
                </c:pt>
              </c:numCache>
            </c:numRef>
          </c:val>
          <c:smooth val="0"/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56</c:v>
                </c:pt>
                <c:pt idx="4">
                  <c:v>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marker val="1"/>
        <c:smooth val="0"/>
        <c:axId val="72679424"/>
        <c:axId val="72680960"/>
      </c:lineChart>
      <c:catAx>
        <c:axId val="726794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72680960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726809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7267942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 altLang="en-US"/>
              <a:t>Development Velocity</a:t>
            </a:r>
          </a:p>
        </c:rich>
      </c:tx>
      <c:layout>
        <c:manualLayout>
          <c:xMode val="edge"/>
          <c:yMode val="edge"/>
          <c:x val="0.28131445043238501"/>
          <c:y val="3.438400226092723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5"/>
                <c:pt idx="0">
                  <c:v>23</c:v>
                </c:pt>
                <c:pt idx="1">
                  <c:v>29</c:v>
                </c:pt>
                <c:pt idx="2">
                  <c:v>31</c:v>
                </c:pt>
                <c:pt idx="3">
                  <c:v>28</c:v>
                </c:pt>
                <c:pt idx="4">
                  <c:v>28</c:v>
                </c:pt>
              </c:numCache>
            </c:numRef>
          </c:val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5"/>
                <c:pt idx="0">
                  <c:v>23</c:v>
                </c:pt>
                <c:pt idx="1">
                  <c:v>27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72717056"/>
        <c:axId val="72718592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5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</c:numCache>
            </c:numRef>
          </c:val>
          <c:smooth val="0"/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5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</c:numCache>
            </c:numRef>
          </c:val>
          <c:smooth val="0"/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5"/>
                <c:pt idx="0">
                  <c:v>25</c:v>
                </c:pt>
                <c:pt idx="1">
                  <c:v>25</c:v>
                </c:pt>
                <c:pt idx="2">
                  <c:v>25</c:v>
                </c:pt>
                <c:pt idx="3">
                  <c:v>25</c:v>
                </c:pt>
                <c:pt idx="4">
                  <c:v>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717056"/>
        <c:axId val="72718592"/>
      </c:lineChart>
      <c:catAx>
        <c:axId val="72717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727185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727185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72717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5975435518235365E-2"/>
          <c:y val="0.87392672413190053"/>
          <c:w val="0.852156911893721"/>
          <c:h val="0.106017340304525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33</c:v>
                </c:pt>
                <c:pt idx="1">
                  <c:v>28</c:v>
                </c:pt>
                <c:pt idx="2">
                  <c:v>16</c:v>
                </c:pt>
                <c:pt idx="3">
                  <c:v>13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897664"/>
        <c:axId val="72899200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33</c:v>
                </c:pt>
                <c:pt idx="1">
                  <c:v>26.4</c:v>
                </c:pt>
                <c:pt idx="2">
                  <c:v>19.8</c:v>
                </c:pt>
                <c:pt idx="3">
                  <c:v>13.200000000000003</c:v>
                </c:pt>
                <c:pt idx="4">
                  <c:v>6.6000000000000014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33.299999999999997</c:v>
                </c:pt>
                <c:pt idx="1">
                  <c:v>26.1</c:v>
                </c:pt>
                <c:pt idx="2">
                  <c:v>18.900000000000002</c:v>
                </c:pt>
                <c:pt idx="3">
                  <c:v>11.700000000000003</c:v>
                </c:pt>
                <c:pt idx="4">
                  <c:v>4.5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897664"/>
        <c:axId val="72899200"/>
      </c:lineChart>
      <c:catAx>
        <c:axId val="72897664"/>
        <c:scaling>
          <c:orientation val="minMax"/>
        </c:scaling>
        <c:delete val="1"/>
        <c:axPos val="b"/>
        <c:majorTickMark val="out"/>
        <c:minorTickMark val="none"/>
        <c:tickLblPos val="nextTo"/>
        <c:crossAx val="72899200"/>
        <c:crosses val="autoZero"/>
        <c:auto val="1"/>
        <c:lblAlgn val="ctr"/>
        <c:lblOffset val="100"/>
        <c:noMultiLvlLbl val="0"/>
      </c:catAx>
      <c:valAx>
        <c:axId val="72899200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383941233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72897664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46E-3"/>
          <c:y val="6.6176708182689656E-2"/>
          <c:w val="0.11404435058078141"/>
          <c:h val="0.426472119399555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952448"/>
        <c:axId val="72962432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52448"/>
        <c:axId val="72962432"/>
      </c:lineChart>
      <c:catAx>
        <c:axId val="72952448"/>
        <c:scaling>
          <c:orientation val="minMax"/>
        </c:scaling>
        <c:delete val="1"/>
        <c:axPos val="b"/>
        <c:majorTickMark val="out"/>
        <c:minorTickMark val="none"/>
        <c:tickLblPos val="nextTo"/>
        <c:crossAx val="72962432"/>
        <c:crosses val="autoZero"/>
        <c:auto val="1"/>
        <c:lblAlgn val="ctr"/>
        <c:lblOffset val="100"/>
        <c:noMultiLvlLbl val="0"/>
      </c:catAx>
      <c:valAx>
        <c:axId val="72962432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3839412336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72952448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l"/>
      <c:layout>
        <c:manualLayout>
          <c:xMode val="edge"/>
          <c:yMode val="edge"/>
          <c:x val="8.4477296726504746E-3"/>
          <c:y val="6.6176708182689656E-2"/>
          <c:w val="0.11404435058078141"/>
          <c:h val="0.426472119399555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zh-CN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0</xdr:row>
          <xdr:rowOff>95250</xdr:rowOff>
        </xdr:from>
        <xdr:to>
          <xdr:col>6</xdr:col>
          <xdr:colOff>914400</xdr:colOff>
          <xdr:row>1</xdr:row>
          <xdr:rowOff>85725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Product Backlog </a:t>
              </a: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  <a:cs typeface="Arial"/>
                </a:rPr>
                <a:t>排序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171450</xdr:colOff>
      <xdr:row>1</xdr:row>
      <xdr:rowOff>47625</xdr:rowOff>
    </xdr:from>
    <xdr:to>
      <xdr:col>24</xdr:col>
      <xdr:colOff>542925</xdr:colOff>
      <xdr:row>19</xdr:row>
      <xdr:rowOff>142875</xdr:rowOff>
    </xdr:to>
    <xdr:graphicFrame macro="">
      <xdr:nvGraphicFramePr>
        <xdr:cNvPr id="18434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180975</xdr:colOff>
      <xdr:row>20</xdr:row>
      <xdr:rowOff>47625</xdr:rowOff>
    </xdr:from>
    <xdr:to>
      <xdr:col>24</xdr:col>
      <xdr:colOff>552450</xdr:colOff>
      <xdr:row>39</xdr:row>
      <xdr:rowOff>123825</xdr:rowOff>
    </xdr:to>
    <xdr:graphicFrame macro="">
      <xdr:nvGraphicFramePr>
        <xdr:cNvPr id="18449" name="图表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17410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85725</xdr:rowOff>
        </xdr:from>
        <xdr:to>
          <xdr:col>0</xdr:col>
          <xdr:colOff>2009775</xdr:colOff>
          <xdr:row>7</xdr:row>
          <xdr:rowOff>28575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Sprint Tasks </a:t>
              </a: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  <a:cs typeface="Arial"/>
                </a:rPr>
                <a:t>排序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2257425</xdr:colOff>
          <xdr:row>5</xdr:row>
          <xdr:rowOff>85725</xdr:rowOff>
        </xdr:from>
        <xdr:to>
          <xdr:col>2</xdr:col>
          <xdr:colOff>295275</xdr:colOff>
          <xdr:row>7</xdr:row>
          <xdr:rowOff>28575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更新task slips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47625</xdr:colOff>
      <xdr:row>7</xdr:row>
      <xdr:rowOff>133350</xdr:rowOff>
    </xdr:to>
    <xdr:graphicFrame macro="">
      <xdr:nvGraphicFramePr>
        <xdr:cNvPr id="14338" name="图表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238125</xdr:colOff>
          <xdr:row>5</xdr:row>
          <xdr:rowOff>85725</xdr:rowOff>
        </xdr:from>
        <xdr:to>
          <xdr:col>0</xdr:col>
          <xdr:colOff>1724025</xdr:colOff>
          <xdr:row>7</xdr:row>
          <xdr:rowOff>28575</xdr:rowOff>
        </xdr:to>
        <xdr:sp macro="" textlink="">
          <xdr:nvSpPr>
            <xdr:cNvPr id="14349" name="Button 13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Sprint Tasks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2000250</xdr:colOff>
          <xdr:row>5</xdr:row>
          <xdr:rowOff>85725</xdr:rowOff>
        </xdr:from>
        <xdr:to>
          <xdr:col>2</xdr:col>
          <xdr:colOff>219075</xdr:colOff>
          <xdr:row>7</xdr:row>
          <xdr:rowOff>28575</xdr:rowOff>
        </xdr:to>
        <xdr:sp macro="" textlink="">
          <xdr:nvSpPr>
            <xdr:cNvPr id="14350" name="Button 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Update Task Slips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4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1"/>
  <sheetViews>
    <sheetView workbookViewId="0">
      <selection activeCell="H25" sqref="H25"/>
    </sheetView>
  </sheetViews>
  <sheetFormatPr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7" max="7" width="13.7109375" style="2" customWidth="1"/>
    <col min="8" max="8" width="59.140625" customWidth="1"/>
    <col min="9" max="9" width="10.7109375" customWidth="1"/>
  </cols>
  <sheetData>
    <row r="1" spans="1:10" ht="18.75" x14ac:dyDescent="0.25">
      <c r="A1" s="93" t="s">
        <v>89</v>
      </c>
    </row>
    <row r="3" spans="1:10" x14ac:dyDescent="0.2">
      <c r="A3" s="95" t="s">
        <v>90</v>
      </c>
      <c r="B3" s="97" t="s">
        <v>92</v>
      </c>
      <c r="C3" s="98" t="s">
        <v>94</v>
      </c>
      <c r="D3" s="98" t="s">
        <v>93</v>
      </c>
      <c r="E3" s="97" t="s">
        <v>95</v>
      </c>
      <c r="F3" s="99" t="s">
        <v>96</v>
      </c>
      <c r="G3" s="97" t="s">
        <v>97</v>
      </c>
      <c r="H3" s="100" t="s">
        <v>98</v>
      </c>
      <c r="I3" s="1"/>
      <c r="J3" s="1"/>
    </row>
    <row r="4" spans="1:10" x14ac:dyDescent="0.2">
      <c r="A4" s="10">
        <v>1</v>
      </c>
      <c r="B4" s="41">
        <f>IF(OR(B16="",A4=""),"",B16)</f>
        <v>38881</v>
      </c>
      <c r="C4" s="22">
        <f t="shared" ref="C4:C10" si="0">IF(A4="","",SUMIF(I$16:I$30,A4,C$16:C$30))</f>
        <v>42</v>
      </c>
      <c r="D4" s="41">
        <f>IF(OR(B4="",C4=""),"",B4+C4-1)</f>
        <v>38922</v>
      </c>
      <c r="E4" s="19">
        <f>IF(A4="","",SUMIF(I$16:I$30,发布计划!A4,E$16:E$30))</f>
        <v>19</v>
      </c>
      <c r="F4" s="4"/>
      <c r="G4" s="43"/>
      <c r="H4" s="6"/>
    </row>
    <row r="5" spans="1:10" x14ac:dyDescent="0.2">
      <c r="A5" s="11">
        <v>2</v>
      </c>
      <c r="B5" s="38">
        <f>IF(A5="","",B4+C4)</f>
        <v>38923</v>
      </c>
      <c r="C5" s="19">
        <f t="shared" si="0"/>
        <v>42</v>
      </c>
      <c r="D5" s="38">
        <f t="shared" ref="D5:D10" si="1">IF(OR(B5="",C5=""),"",B5+C5-1)</f>
        <v>38964</v>
      </c>
      <c r="E5" s="19">
        <f>IF(A5="","",SUMIF(I$16:I$30,发布计划!A5,E$16:E$30))</f>
        <v>0</v>
      </c>
      <c r="F5" s="4"/>
      <c r="G5" s="44"/>
      <c r="H5" s="7"/>
    </row>
    <row r="6" spans="1:10" x14ac:dyDescent="0.2">
      <c r="A6" s="11"/>
      <c r="B6" s="38"/>
      <c r="C6" s="19" t="str">
        <f t="shared" si="0"/>
        <v/>
      </c>
      <c r="D6" s="38" t="str">
        <f t="shared" si="1"/>
        <v/>
      </c>
      <c r="E6" s="19" t="str">
        <f>IF(A6="","",SUMIF(I$16:I$30,发布计划!A6,E$16:E$30))</f>
        <v/>
      </c>
      <c r="F6" s="4"/>
      <c r="G6" s="44"/>
      <c r="H6" s="7"/>
    </row>
    <row r="7" spans="1:10" x14ac:dyDescent="0.2">
      <c r="A7" s="11"/>
      <c r="B7" s="38"/>
      <c r="C7" s="19" t="str">
        <f t="shared" si="0"/>
        <v/>
      </c>
      <c r="D7" s="38" t="str">
        <f t="shared" si="1"/>
        <v/>
      </c>
      <c r="E7" s="19" t="str">
        <f>IF(A7="","",SUMIF(I$16:I$30,发布计划!A7,E$16:E$30))</f>
        <v/>
      </c>
      <c r="F7" s="4"/>
      <c r="G7" s="44"/>
      <c r="H7" s="7"/>
    </row>
    <row r="8" spans="1:10" x14ac:dyDescent="0.2">
      <c r="A8" s="11"/>
      <c r="B8" s="38"/>
      <c r="C8" s="19" t="str">
        <f t="shared" si="0"/>
        <v/>
      </c>
      <c r="D8" s="38" t="str">
        <f t="shared" si="1"/>
        <v/>
      </c>
      <c r="E8" s="19" t="str">
        <f>IF(A8="","",SUMIF(I$16:I$30,发布计划!A8,E$16:E$30))</f>
        <v/>
      </c>
      <c r="F8" s="4"/>
      <c r="G8" s="44"/>
      <c r="H8" s="7"/>
    </row>
    <row r="9" spans="1:10" x14ac:dyDescent="0.2">
      <c r="A9" s="11"/>
      <c r="B9" s="38"/>
      <c r="C9" s="19" t="str">
        <f t="shared" si="0"/>
        <v/>
      </c>
      <c r="D9" s="38" t="str">
        <f t="shared" si="1"/>
        <v/>
      </c>
      <c r="E9" s="19" t="str">
        <f>IF(A9="","",SUMIF(I$16:I$30,发布计划!A9,E$16:E$30))</f>
        <v/>
      </c>
      <c r="F9" s="4"/>
      <c r="G9" s="44"/>
      <c r="H9" s="7"/>
    </row>
    <row r="10" spans="1:10" x14ac:dyDescent="0.2">
      <c r="A10" s="12"/>
      <c r="B10" s="39"/>
      <c r="C10" s="40" t="str">
        <f t="shared" si="0"/>
        <v/>
      </c>
      <c r="D10" s="39" t="str">
        <f t="shared" si="1"/>
        <v/>
      </c>
      <c r="E10" s="40" t="str">
        <f>IF(A10="","",SUMIF(I$16:I$30,发布计划!A10,E$16:E$30))</f>
        <v/>
      </c>
      <c r="F10" s="5"/>
      <c r="G10" s="45"/>
      <c r="H10" s="8"/>
    </row>
    <row r="11" spans="1:10" x14ac:dyDescent="0.2">
      <c r="A11" s="35" t="s">
        <v>21</v>
      </c>
    </row>
    <row r="13" spans="1:10" ht="18.75" x14ac:dyDescent="0.25">
      <c r="A13" s="94" t="s">
        <v>88</v>
      </c>
    </row>
    <row r="15" spans="1:10" x14ac:dyDescent="0.2">
      <c r="A15" s="9" t="s">
        <v>8</v>
      </c>
      <c r="B15" s="97" t="s">
        <v>92</v>
      </c>
      <c r="C15" s="97" t="s">
        <v>99</v>
      </c>
      <c r="D15" s="97" t="s">
        <v>100</v>
      </c>
      <c r="E15" s="97" t="s">
        <v>95</v>
      </c>
      <c r="F15" s="99" t="s">
        <v>96</v>
      </c>
      <c r="G15" s="97" t="s">
        <v>97</v>
      </c>
      <c r="H15" s="101" t="s">
        <v>98</v>
      </c>
      <c r="I15" s="96" t="s">
        <v>91</v>
      </c>
      <c r="J15" s="1"/>
    </row>
    <row r="16" spans="1:10" x14ac:dyDescent="0.2">
      <c r="A16" s="19">
        <v>1</v>
      </c>
      <c r="B16" s="67">
        <v>38881</v>
      </c>
      <c r="C16" s="24">
        <v>14</v>
      </c>
      <c r="D16" s="23">
        <f t="shared" ref="D16:D30" si="2">IF(AND(B16&lt;&gt;"",C16&lt;&gt;""),B16+C16-1,"")</f>
        <v>38894</v>
      </c>
      <c r="E16" s="19">
        <f>IF(A16="","",SUMIF('Product Backlog'!E$5:E$103,发布计划!A16,'Product Backlog'!D$5:D$103))</f>
        <v>8</v>
      </c>
      <c r="F16" s="4" t="s">
        <v>10</v>
      </c>
      <c r="G16" s="24"/>
      <c r="H16" s="25" t="s">
        <v>61</v>
      </c>
      <c r="I16" s="63">
        <v>1</v>
      </c>
    </row>
    <row r="17" spans="1:9" x14ac:dyDescent="0.2">
      <c r="A17" s="19">
        <v>2</v>
      </c>
      <c r="B17" s="23">
        <f>IF(AND(B16&lt;&gt;"",C16&lt;&gt;"",C17&lt;&gt;""),B16+C16,"")</f>
        <v>38895</v>
      </c>
      <c r="C17" s="24">
        <v>14</v>
      </c>
      <c r="D17" s="23">
        <f>IF(AND(B17&lt;&gt;"",C17&lt;&gt;""),B17+C17-1,"")</f>
        <v>38908</v>
      </c>
      <c r="E17" s="19">
        <f>IF(A17="","",SUMIF('Product Backlog'!E$5:E$103,发布计划!A17,'Product Backlog'!D$5:D$103))</f>
        <v>3</v>
      </c>
      <c r="F17" s="4" t="s">
        <v>10</v>
      </c>
      <c r="G17" s="24"/>
      <c r="H17" s="26" t="s">
        <v>58</v>
      </c>
      <c r="I17" s="36">
        <v>1</v>
      </c>
    </row>
    <row r="18" spans="1:9" x14ac:dyDescent="0.2">
      <c r="A18" s="19">
        <v>3</v>
      </c>
      <c r="B18" s="23">
        <f>IF(AND(B17&lt;&gt;"",C17&lt;&gt;"",C18&lt;&gt;""),B17+C17,"")</f>
        <v>38909</v>
      </c>
      <c r="C18" s="24">
        <v>14</v>
      </c>
      <c r="D18" s="23">
        <f>IF(AND(B18&lt;&gt;"",C18&lt;&gt;""),B18+C18-1,"")</f>
        <v>38922</v>
      </c>
      <c r="E18" s="19">
        <f>IF(A18="","",SUMIF('Product Backlog'!E$5:E$103,发布计划!A18,'Product Backlog'!D$5:D$103))</f>
        <v>8</v>
      </c>
      <c r="F18" s="4" t="str">
        <f>IF(AND(OR(F17="Planned",F17="Ongoing"),C18&lt;&gt;""),"Planned","Unplanned")</f>
        <v>Planned</v>
      </c>
      <c r="G18" s="24"/>
      <c r="H18" s="26" t="s">
        <v>58</v>
      </c>
      <c r="I18" s="36">
        <v>1</v>
      </c>
    </row>
    <row r="19" spans="1:9" x14ac:dyDescent="0.2">
      <c r="A19" s="19">
        <v>4</v>
      </c>
      <c r="B19" s="23">
        <f>IF(AND(B18&lt;&gt;"",C18&lt;&gt;"",C19&lt;&gt;""),B18+C18,"")</f>
        <v>38923</v>
      </c>
      <c r="C19" s="24">
        <v>14</v>
      </c>
      <c r="D19" s="23">
        <f>IF(AND(B19&lt;&gt;"",C19&lt;&gt;""),B19+C19-1,"")</f>
        <v>38936</v>
      </c>
      <c r="E19" s="19">
        <f>IF(A19="","",SUMIF('Product Backlog'!E$5:E$103,发布计划!A19,'Product Backlog'!D$5:D$103))</f>
        <v>0</v>
      </c>
      <c r="F19" s="4" t="str">
        <f>IF(AND(OR(F18="Planned",F18="Ongoing"),C19&lt;&gt;""),"Planned","Unplanned")</f>
        <v>Planned</v>
      </c>
      <c r="G19" s="24"/>
      <c r="H19" s="26" t="s">
        <v>58</v>
      </c>
      <c r="I19" s="36">
        <v>2</v>
      </c>
    </row>
    <row r="20" spans="1:9" x14ac:dyDescent="0.2">
      <c r="A20" s="19">
        <v>5</v>
      </c>
      <c r="B20" s="23">
        <f>IF(AND(B19&lt;&gt;"",C19&lt;&gt;"",C20&lt;&gt;""),B19+C19,"")</f>
        <v>38937</v>
      </c>
      <c r="C20" s="24">
        <v>14</v>
      </c>
      <c r="D20" s="23">
        <f>IF(AND(B20&lt;&gt;"",C20&lt;&gt;""),B20+C20-1,"")</f>
        <v>38950</v>
      </c>
      <c r="E20" s="19">
        <f>IF(A20="","",SUMIF('Product Backlog'!E$5:E$103,发布计划!A20,'Product Backlog'!D$5:D$103))</f>
        <v>0</v>
      </c>
      <c r="F20" s="4" t="str">
        <f>IF(AND(OR(F19="Planned",F19="Ongoing"),C20&lt;&gt;""),"Planned","Unplanned")</f>
        <v>Planned</v>
      </c>
      <c r="G20" s="24"/>
      <c r="H20" s="26" t="s">
        <v>59</v>
      </c>
      <c r="I20" s="36">
        <v>2</v>
      </c>
    </row>
    <row r="21" spans="1:9" x14ac:dyDescent="0.2">
      <c r="A21" s="19">
        <v>6</v>
      </c>
      <c r="B21" s="23">
        <f>IF(AND(B20&lt;&gt;"",C20&lt;&gt;"",C21&lt;&gt;""),B20+C20,"")</f>
        <v>38951</v>
      </c>
      <c r="C21" s="24">
        <v>14</v>
      </c>
      <c r="D21" s="23">
        <f>IF(AND(B21&lt;&gt;"",C21&lt;&gt;""),B21+C21-1,"")</f>
        <v>38964</v>
      </c>
      <c r="E21" s="19">
        <f>IF(A21="","",SUMIF('Product Backlog'!E$5:E$103,发布计划!A21,'Product Backlog'!D$5:D$103))</f>
        <v>0</v>
      </c>
      <c r="F21" s="4" t="str">
        <f>IF(AND(OR(F20="Planned",F20="Ongoing"),C21&lt;&gt;""),"Planned","Unplanned")</f>
        <v>Planned</v>
      </c>
      <c r="G21" s="24"/>
      <c r="H21" s="26" t="s">
        <v>60</v>
      </c>
      <c r="I21" s="36">
        <v>2</v>
      </c>
    </row>
    <row r="22" spans="1:9" x14ac:dyDescent="0.2">
      <c r="A22" s="19" t="str">
        <f t="shared" ref="A22:A30" si="3">IF(AND(B22&lt;&gt;"",C22&lt;&gt;""),A21+1,"")</f>
        <v/>
      </c>
      <c r="B22" s="23" t="str">
        <f t="shared" ref="B22:B30" si="4">IF(AND(B21&lt;&gt;"",C21&lt;&gt;"",C22&lt;&gt;""),B21+C21,"")</f>
        <v/>
      </c>
      <c r="C22" s="24"/>
      <c r="D22" s="23" t="str">
        <f t="shared" si="2"/>
        <v/>
      </c>
      <c r="E22" s="19" t="str">
        <f>IF(A22="","",SUMIF('Product Backlog'!E$6:E$103,发布计划!A22,'Product Backlog'!D$6:D$103))</f>
        <v/>
      </c>
      <c r="F22" s="4" t="str">
        <f t="shared" ref="F22:F30" si="5">IF(AND(OR(F21="Planned",F21="Ongoing"),C22&lt;&gt;""),"Planned","Unplanned")</f>
        <v>Unplanned</v>
      </c>
      <c r="G22" s="24"/>
      <c r="H22" s="26"/>
      <c r="I22" s="36"/>
    </row>
    <row r="23" spans="1:9" x14ac:dyDescent="0.2">
      <c r="A23" s="19" t="str">
        <f t="shared" si="3"/>
        <v/>
      </c>
      <c r="B23" s="23" t="str">
        <f t="shared" si="4"/>
        <v/>
      </c>
      <c r="C23" s="24"/>
      <c r="D23" s="23" t="str">
        <f t="shared" si="2"/>
        <v/>
      </c>
      <c r="E23" s="19" t="str">
        <f>IF(A23="","",SUMIF('Product Backlog'!E$6:E$103,发布计划!A23,'Product Backlog'!D$6:D$103))</f>
        <v/>
      </c>
      <c r="F23" s="4" t="str">
        <f t="shared" si="5"/>
        <v>Unplanned</v>
      </c>
      <c r="G23" s="24"/>
      <c r="H23" s="26"/>
      <c r="I23" s="36"/>
    </row>
    <row r="24" spans="1:9" x14ac:dyDescent="0.2">
      <c r="A24" s="19" t="str">
        <f t="shared" si="3"/>
        <v/>
      </c>
      <c r="B24" s="23" t="str">
        <f t="shared" si="4"/>
        <v/>
      </c>
      <c r="C24" s="24"/>
      <c r="D24" s="23" t="str">
        <f t="shared" si="2"/>
        <v/>
      </c>
      <c r="E24" s="19" t="str">
        <f>IF(A24="","",SUMIF('Product Backlog'!E$6:E$103,发布计划!A24,'Product Backlog'!D$6:D$103))</f>
        <v/>
      </c>
      <c r="F24" s="4" t="str">
        <f t="shared" si="5"/>
        <v>Unplanned</v>
      </c>
      <c r="G24" s="24"/>
      <c r="H24" s="26"/>
      <c r="I24" s="36"/>
    </row>
    <row r="25" spans="1:9" x14ac:dyDescent="0.2">
      <c r="A25" s="19" t="str">
        <f t="shared" si="3"/>
        <v/>
      </c>
      <c r="B25" s="23" t="str">
        <f t="shared" si="4"/>
        <v/>
      </c>
      <c r="C25" s="24"/>
      <c r="D25" s="23" t="str">
        <f t="shared" si="2"/>
        <v/>
      </c>
      <c r="E25" s="19" t="str">
        <f>IF(A25="","",SUMIF('Product Backlog'!E$6:E$103,发布计划!A25,'Product Backlog'!D$6:D$103))</f>
        <v/>
      </c>
      <c r="F25" s="4" t="str">
        <f t="shared" si="5"/>
        <v>Unplanned</v>
      </c>
      <c r="G25" s="24"/>
      <c r="H25" s="26"/>
      <c r="I25" s="36"/>
    </row>
    <row r="26" spans="1:9" x14ac:dyDescent="0.2">
      <c r="A26" s="19" t="str">
        <f t="shared" si="3"/>
        <v/>
      </c>
      <c r="B26" s="23" t="str">
        <f t="shared" si="4"/>
        <v/>
      </c>
      <c r="C26" s="24"/>
      <c r="D26" s="23" t="str">
        <f t="shared" si="2"/>
        <v/>
      </c>
      <c r="E26" s="19" t="str">
        <f>IF(A26="","",SUMIF('Product Backlog'!E$6:E$103,发布计划!A26,'Product Backlog'!D$6:D$103))</f>
        <v/>
      </c>
      <c r="F26" s="4" t="str">
        <f t="shared" si="5"/>
        <v>Unplanned</v>
      </c>
      <c r="G26" s="24"/>
      <c r="H26" s="26"/>
      <c r="I26" s="36"/>
    </row>
    <row r="27" spans="1:9" x14ac:dyDescent="0.2">
      <c r="A27" s="19" t="str">
        <f t="shared" si="3"/>
        <v/>
      </c>
      <c r="B27" s="23" t="str">
        <f t="shared" si="4"/>
        <v/>
      </c>
      <c r="C27" s="24"/>
      <c r="D27" s="23" t="str">
        <f t="shared" si="2"/>
        <v/>
      </c>
      <c r="E27" s="19" t="str">
        <f>IF(A27="","",SUMIF('Product Backlog'!E$6:E$103,发布计划!A27,'Product Backlog'!D$6:D$103))</f>
        <v/>
      </c>
      <c r="F27" s="4" t="str">
        <f t="shared" si="5"/>
        <v>Unplanned</v>
      </c>
      <c r="G27" s="24"/>
      <c r="H27" s="26"/>
      <c r="I27" s="36"/>
    </row>
    <row r="28" spans="1:9" x14ac:dyDescent="0.2">
      <c r="A28" s="19" t="str">
        <f t="shared" si="3"/>
        <v/>
      </c>
      <c r="B28" s="23" t="str">
        <f t="shared" si="4"/>
        <v/>
      </c>
      <c r="C28" s="24"/>
      <c r="D28" s="23" t="str">
        <f t="shared" si="2"/>
        <v/>
      </c>
      <c r="E28" s="19" t="str">
        <f>IF(A28="","",SUMIF('Product Backlog'!E$6:E$103,发布计划!A28,'Product Backlog'!D$6:D$103))</f>
        <v/>
      </c>
      <c r="F28" s="4" t="str">
        <f t="shared" si="5"/>
        <v>Unplanned</v>
      </c>
      <c r="G28" s="24"/>
      <c r="H28" s="26"/>
      <c r="I28" s="36"/>
    </row>
    <row r="29" spans="1:9" x14ac:dyDescent="0.2">
      <c r="A29" s="19" t="str">
        <f t="shared" si="3"/>
        <v/>
      </c>
      <c r="B29" s="23" t="str">
        <f t="shared" si="4"/>
        <v/>
      </c>
      <c r="C29" s="24"/>
      <c r="D29" s="23" t="str">
        <f t="shared" si="2"/>
        <v/>
      </c>
      <c r="E29" s="19" t="str">
        <f>IF(A29="","",SUMIF('Product Backlog'!E$6:E$103,发布计划!A29,'Product Backlog'!D$6:D$103))</f>
        <v/>
      </c>
      <c r="F29" s="4" t="str">
        <f t="shared" si="5"/>
        <v>Unplanned</v>
      </c>
      <c r="G29" s="24"/>
      <c r="H29" s="26"/>
      <c r="I29" s="36"/>
    </row>
    <row r="30" spans="1:9" x14ac:dyDescent="0.2">
      <c r="A30" s="19" t="str">
        <f t="shared" si="3"/>
        <v/>
      </c>
      <c r="B30" s="23" t="str">
        <f t="shared" si="4"/>
        <v/>
      </c>
      <c r="C30" s="24"/>
      <c r="D30" s="23" t="str">
        <f t="shared" si="2"/>
        <v/>
      </c>
      <c r="E30" s="19" t="str">
        <f>IF(A30="","",SUMIF('Product Backlog'!E$6:E$103,发布计划!A30,'Product Backlog'!D$6:D$103))</f>
        <v/>
      </c>
      <c r="F30" s="4" t="str">
        <f t="shared" si="5"/>
        <v>Unplanned</v>
      </c>
      <c r="G30" s="24"/>
      <c r="H30" s="27"/>
      <c r="I30" s="37"/>
    </row>
    <row r="31" spans="1:9" x14ac:dyDescent="0.2">
      <c r="A31" s="20"/>
      <c r="B31" s="20"/>
      <c r="C31" s="20"/>
      <c r="D31" s="21" t="s">
        <v>11</v>
      </c>
      <c r="E31" s="22">
        <f>SUMIF('Product Backlog'!E$6:E$103,"",'Product Backlog'!D$6:D$103)-SUMIF('Product Backlog'!C$6:C$103,"Removed",'Product Backlog'!D$6:D$103)</f>
        <v>13</v>
      </c>
      <c r="F31" s="20"/>
      <c r="G31" s="46"/>
      <c r="H31" s="20"/>
    </row>
  </sheetData>
  <phoneticPr fontId="2" type="noConversion"/>
  <conditionalFormatting sqref="G4:H10 E31 E5:E10 A4:D10">
    <cfRule type="expression" dxfId="27" priority="1" stopIfTrue="1">
      <formula>$F4="Planned"</formula>
    </cfRule>
    <cfRule type="expression" dxfId="26" priority="2" stopIfTrue="1">
      <formula>$F4="Ongoing"</formula>
    </cfRule>
  </conditionalFormatting>
  <conditionalFormatting sqref="F4:F10 F16:F30">
    <cfRule type="expression" dxfId="25" priority="3" stopIfTrue="1">
      <formula>$F4="Planned"</formula>
    </cfRule>
    <cfRule type="expression" dxfId="24" priority="4" stopIfTrue="1">
      <formula>$F4="Ongoing"</formula>
    </cfRule>
    <cfRule type="cellIs" dxfId="23" priority="5" stopIfTrue="1" operator="equal">
      <formula>"Unplanned"</formula>
    </cfRule>
  </conditionalFormatting>
  <conditionalFormatting sqref="E4 G16:H30 A16:E30">
    <cfRule type="expression" dxfId="22" priority="6" stopIfTrue="1">
      <formula>OR($F4="Planned",$F4="Unplanned")</formula>
    </cfRule>
    <cfRule type="expression" dxfId="21" priority="7" stopIfTrue="1">
      <formula>$F4="Ongoing"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53"/>
  <sheetViews>
    <sheetView workbookViewId="0">
      <pane ySplit="4" topLeftCell="A5" activePane="bottomLeft" state="frozen"/>
      <selection pane="bottomLeft" activeCell="B20" sqref="B20"/>
    </sheetView>
  </sheetViews>
  <sheetFormatPr defaultRowHeight="12.75" x14ac:dyDescent="0.2"/>
  <cols>
    <col min="1" max="1" width="9.140625" style="31"/>
    <col min="2" max="2" width="39.28515625" style="29" customWidth="1"/>
    <col min="3" max="3" width="10.85546875" style="31" customWidth="1"/>
    <col min="4" max="6" width="9.140625" style="31"/>
    <col min="7" max="7" width="39.5703125" style="29" customWidth="1"/>
    <col min="8" max="16384" width="9.140625" style="32"/>
  </cols>
  <sheetData>
    <row r="1" spans="1:7" ht="18" x14ac:dyDescent="0.2">
      <c r="A1" s="47" t="s">
        <v>1</v>
      </c>
      <c r="C1" s="30" t="s">
        <v>62</v>
      </c>
    </row>
    <row r="2" spans="1:7" x14ac:dyDescent="0.2">
      <c r="D2" s="66"/>
    </row>
    <row r="4" spans="1:7" ht="13.5" thickBot="1" x14ac:dyDescent="0.25">
      <c r="A4" s="42" t="s">
        <v>101</v>
      </c>
      <c r="B4" s="102" t="s">
        <v>102</v>
      </c>
      <c r="C4" s="103" t="s">
        <v>103</v>
      </c>
      <c r="D4" s="103" t="s">
        <v>104</v>
      </c>
      <c r="E4" s="42" t="s">
        <v>8</v>
      </c>
      <c r="F4" s="103" t="s">
        <v>105</v>
      </c>
      <c r="G4" s="102" t="s">
        <v>106</v>
      </c>
    </row>
    <row r="5" spans="1:7" x14ac:dyDescent="0.2">
      <c r="A5" s="31">
        <v>1</v>
      </c>
      <c r="B5" s="104" t="s">
        <v>112</v>
      </c>
      <c r="C5" s="31" t="s">
        <v>63</v>
      </c>
      <c r="D5" s="31">
        <v>3</v>
      </c>
      <c r="E5" s="31">
        <v>1</v>
      </c>
    </row>
    <row r="6" spans="1:7" ht="24" x14ac:dyDescent="0.2">
      <c r="A6" s="31">
        <v>2</v>
      </c>
      <c r="B6" s="104" t="s">
        <v>113</v>
      </c>
      <c r="C6" s="31" t="s">
        <v>66</v>
      </c>
      <c r="D6" s="31">
        <v>5</v>
      </c>
      <c r="E6" s="31">
        <v>1</v>
      </c>
      <c r="G6" s="104" t="s">
        <v>107</v>
      </c>
    </row>
    <row r="7" spans="1:7" x14ac:dyDescent="0.2">
      <c r="A7" s="31">
        <v>3</v>
      </c>
      <c r="B7" s="104" t="s">
        <v>114</v>
      </c>
      <c r="C7" s="31" t="s">
        <v>10</v>
      </c>
      <c r="D7" s="31">
        <v>3</v>
      </c>
      <c r="E7" s="31">
        <v>2</v>
      </c>
    </row>
    <row r="8" spans="1:7" x14ac:dyDescent="0.2">
      <c r="A8" s="31">
        <v>4</v>
      </c>
      <c r="B8" s="104" t="s">
        <v>115</v>
      </c>
      <c r="C8" s="31" t="s">
        <v>10</v>
      </c>
      <c r="D8" s="31">
        <v>8</v>
      </c>
      <c r="E8" s="31">
        <v>3</v>
      </c>
    </row>
    <row r="9" spans="1:7" x14ac:dyDescent="0.2">
      <c r="A9" s="31">
        <v>5</v>
      </c>
      <c r="B9" s="104" t="s">
        <v>116</v>
      </c>
      <c r="C9" s="31" t="s">
        <v>10</v>
      </c>
      <c r="D9" s="31">
        <v>13</v>
      </c>
    </row>
    <row r="10" spans="1:7" ht="26.25" customHeight="1" x14ac:dyDescent="0.2">
      <c r="A10" s="31">
        <v>6</v>
      </c>
      <c r="B10" s="29" t="s">
        <v>71</v>
      </c>
      <c r="C10" s="31" t="s">
        <v>72</v>
      </c>
      <c r="D10" s="31">
        <v>5</v>
      </c>
    </row>
    <row r="11" spans="1:7" ht="26.25" customHeight="1" x14ac:dyDescent="0.2"/>
    <row r="29" spans="2:2" x14ac:dyDescent="0.2">
      <c r="B29" s="32"/>
    </row>
    <row r="37" spans="7:10" x14ac:dyDescent="0.2">
      <c r="J37" s="64"/>
    </row>
    <row r="42" spans="7:10" x14ac:dyDescent="0.2">
      <c r="G42" s="65"/>
    </row>
    <row r="53" spans="1:6" x14ac:dyDescent="0.2">
      <c r="A53" s="32"/>
      <c r="B53" s="32"/>
      <c r="C53" s="32"/>
      <c r="D53" s="32"/>
      <c r="E53" s="32"/>
      <c r="F53" s="32"/>
    </row>
  </sheetData>
  <sortState ref="A5:G53">
    <sortCondition ref="E5"/>
    <sortCondition ref="C5"/>
  </sortState>
  <phoneticPr fontId="2" type="noConversion"/>
  <conditionalFormatting sqref="G44:G52 C45:C46 A11:A52 G23:G41 B11:F44 A54:G163 B47:F52 G11:G21 A4:G10">
    <cfRule type="expression" dxfId="20" priority="1" stopIfTrue="1">
      <formula>$C4="Done"</formula>
    </cfRule>
    <cfRule type="expression" dxfId="19" priority="2" stopIfTrue="1">
      <formula>$C4="Ongoing"</formula>
    </cfRule>
    <cfRule type="expression" dxfId="18" priority="3" stopIfTrue="1">
      <formula>$C4="Removed"</formula>
    </cfRule>
  </conditionalFormatting>
  <conditionalFormatting sqref="G53">
    <cfRule type="expression" dxfId="17" priority="4" stopIfTrue="1">
      <formula>$C43="Done"</formula>
    </cfRule>
    <cfRule type="expression" dxfId="16" priority="5" stopIfTrue="1">
      <formula>$C43="Ongoing"</formula>
    </cfRule>
    <cfRule type="expression" dxfId="15" priority="6" stopIfTrue="1">
      <formula>$C43="Removed"</formula>
    </cfRule>
  </conditionalFormatting>
  <conditionalFormatting sqref="G42:G43">
    <cfRule type="expression" dxfId="14" priority="7" stopIfTrue="1">
      <formula>#REF!="Done"</formula>
    </cfRule>
    <cfRule type="expression" dxfId="13" priority="8" stopIfTrue="1">
      <formula>#REF!="Ongoing"</formula>
    </cfRule>
    <cfRule type="expression" dxfId="12" priority="9" stopIfTrue="1">
      <formula>#REF!="Removed"</formula>
    </cfRule>
  </conditionalFormatting>
  <conditionalFormatting sqref="G22">
    <cfRule type="expression" dxfId="11" priority="10" stopIfTrue="1">
      <formula>#REF!="Done"</formula>
    </cfRule>
    <cfRule type="expression" dxfId="10" priority="11" stopIfTrue="1">
      <formula>#REF!="Ongoing"</formula>
    </cfRule>
    <cfRule type="expression" dxfId="9" priority="12" stopIfTrue="1">
      <formula>#REF!="Removed"</formula>
    </cfRule>
  </conditionalFormatting>
  <dataValidations count="1">
    <dataValidation type="list" allowBlank="1" showInputMessage="1" sqref="C54:C163 C4 C6:C52">
      <formula1>"Planned,Ongoing,Done,Removed"</formula1>
    </dataValidation>
  </dataValidations>
  <pageMargins left="0.75" right="0.75" top="1" bottom="1" header="0.5" footer="0.5"/>
  <pageSetup paperSize="9" scale="84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SortProductBacklog">
                <anchor>
                  <from>
                    <xdr:col>4</xdr:col>
                    <xdr:colOff>66675</xdr:colOff>
                    <xdr:row>0</xdr:row>
                    <xdr:rowOff>95250</xdr:rowOff>
                  </from>
                  <to>
                    <xdr:col>6</xdr:col>
                    <xdr:colOff>914400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1"/>
  <sheetViews>
    <sheetView tabSelected="1" workbookViewId="0">
      <selection activeCell="E5" sqref="E5"/>
    </sheetView>
  </sheetViews>
  <sheetFormatPr defaultRowHeight="12.75" x14ac:dyDescent="0.2"/>
  <cols>
    <col min="1" max="1" width="11.8554687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</cols>
  <sheetData>
    <row r="1" spans="1:26" ht="18.75" x14ac:dyDescent="0.2">
      <c r="A1" s="112" t="s">
        <v>124</v>
      </c>
    </row>
    <row r="3" spans="1:26" x14ac:dyDescent="0.2">
      <c r="A3" s="113" t="s">
        <v>125</v>
      </c>
      <c r="D3">
        <v>137</v>
      </c>
      <c r="F3" t="s">
        <v>26</v>
      </c>
      <c r="G3" s="48">
        <f>IF(COUNT(B28:B39)=0,1,COUNT(B28:B39))</f>
        <v>5</v>
      </c>
    </row>
    <row r="4" spans="1:26" x14ac:dyDescent="0.2">
      <c r="A4" s="113" t="s">
        <v>126</v>
      </c>
      <c r="D4">
        <v>3</v>
      </c>
      <c r="E4" s="114" t="s">
        <v>127</v>
      </c>
      <c r="F4" t="s">
        <v>43</v>
      </c>
      <c r="G4" s="48">
        <f>IF(COUNT(D28:D51)=0,1,COUNT(D28:D51)+1)</f>
        <v>3</v>
      </c>
    </row>
    <row r="5" spans="1:26" x14ac:dyDescent="0.2">
      <c r="F5" t="s">
        <v>27</v>
      </c>
      <c r="G5" s="48">
        <f>IF(G4&gt;D4,G4-D4,0)</f>
        <v>0</v>
      </c>
      <c r="Z5" s="35" t="s">
        <v>73</v>
      </c>
    </row>
    <row r="6" spans="1:26" x14ac:dyDescent="0.2">
      <c r="A6" s="1" t="s">
        <v>57</v>
      </c>
      <c r="F6" t="s">
        <v>28</v>
      </c>
      <c r="G6" s="48">
        <f>TrendSprintCount-TrendOffset</f>
        <v>3</v>
      </c>
      <c r="Z6" s="35" t="s">
        <v>74</v>
      </c>
    </row>
    <row r="7" spans="1:26" x14ac:dyDescent="0.2">
      <c r="A7" t="s">
        <v>31</v>
      </c>
      <c r="D7">
        <v>30</v>
      </c>
      <c r="Z7" s="35" t="s">
        <v>77</v>
      </c>
    </row>
    <row r="8" spans="1:26" x14ac:dyDescent="0.2">
      <c r="A8" s="90">
        <f>D$4</f>
        <v>3</v>
      </c>
      <c r="B8" s="90"/>
      <c r="D8" s="50">
        <f ca="1">IF(D28="","",AVERAGE(OFFSET(D27,TrendOffset,0,SprintsInTrend,1)))</f>
        <v>25</v>
      </c>
      <c r="Z8" s="35" t="s">
        <v>78</v>
      </c>
    </row>
    <row r="9" spans="1:26" x14ac:dyDescent="0.2">
      <c r="A9" t="s">
        <v>44</v>
      </c>
      <c r="D9" s="50">
        <f ca="1">IF(D28="","",AVERAGE(OFFSET(D27,1,0,SprintCount,1)))</f>
        <v>25</v>
      </c>
      <c r="F9" t="s">
        <v>36</v>
      </c>
      <c r="G9" s="48">
        <f ca="1">IF(M28="",1,COUNT(M28:M110))</f>
        <v>7</v>
      </c>
      <c r="Z9" s="35" t="s">
        <v>79</v>
      </c>
    </row>
    <row r="10" spans="1:26" x14ac:dyDescent="0.2">
      <c r="A10" t="s">
        <v>33</v>
      </c>
      <c r="D10" s="50">
        <f ca="1">IF(D28="","",AVERAGE(LastEight))</f>
        <v>25</v>
      </c>
      <c r="Z10" s="35" t="s">
        <v>75</v>
      </c>
    </row>
    <row r="11" spans="1:26" x14ac:dyDescent="0.2">
      <c r="A11" t="s">
        <v>34</v>
      </c>
      <c r="D11" s="50">
        <f ca="1">IF(D28="","",IF(TrendSprintCount&lt;4,D10,AVERAGE(SMALL(LastEight,1),SMALL(LastEight,2),SMALL(LastEight,3))))</f>
        <v>25</v>
      </c>
      <c r="Z11" s="35" t="s">
        <v>76</v>
      </c>
    </row>
    <row r="12" spans="1:26" x14ac:dyDescent="0.2">
      <c r="A12" t="s">
        <v>15</v>
      </c>
      <c r="D12" s="50">
        <f ca="1">IF(M29="","",M28-M29)</f>
        <v>25</v>
      </c>
      <c r="Z12" s="35" t="s">
        <v>80</v>
      </c>
    </row>
    <row r="13" spans="1:26" x14ac:dyDescent="0.2">
      <c r="F13" s="49" t="s">
        <v>37</v>
      </c>
      <c r="Z13" s="35" t="s">
        <v>81</v>
      </c>
    </row>
    <row r="14" spans="1:26" x14ac:dyDescent="0.2">
      <c r="A14" s="1" t="s">
        <v>38</v>
      </c>
    </row>
    <row r="15" spans="1:26" x14ac:dyDescent="0.2">
      <c r="A15" t="s">
        <v>39</v>
      </c>
      <c r="D15" s="51">
        <f>IF(D7="",0,ROUNDUP(D3/D7*0.6,0))</f>
        <v>3</v>
      </c>
    </row>
    <row r="16" spans="1:26" x14ac:dyDescent="0.2">
      <c r="A16" t="s">
        <v>41</v>
      </c>
      <c r="D16" s="51">
        <f>IF(D7="",0,ROUNDUP(D3/D7,0))</f>
        <v>5</v>
      </c>
    </row>
    <row r="17" spans="1:17" x14ac:dyDescent="0.2">
      <c r="A17" t="s">
        <v>40</v>
      </c>
      <c r="D17" s="51">
        <f>IF(D7="",0,ROUNDUP(D3/D7*1.6,0))</f>
        <v>8</v>
      </c>
      <c r="F17" t="s">
        <v>45</v>
      </c>
      <c r="G17">
        <f>IF(OR(D28="",D29=""),1,STDEV(D28:D51))</f>
        <v>2.8284271247461903</v>
      </c>
    </row>
    <row r="18" spans="1:17" x14ac:dyDescent="0.2">
      <c r="A18" s="90">
        <f>D$4</f>
        <v>3</v>
      </c>
      <c r="B18" s="90"/>
      <c r="D18" s="51">
        <f ca="1">IF(D8="","",IF(LastRealized="",ROUNDUP(LastPlanned/D8,0)+SprintCount-1,ROUNDUP((LastPlanned-LastRealized)/D8+SprintCount,0)))</f>
        <v>6</v>
      </c>
    </row>
    <row r="19" spans="1:17" x14ac:dyDescent="0.2">
      <c r="A19" t="s">
        <v>32</v>
      </c>
      <c r="D19" s="51">
        <f ca="1">IF(D9="","",IF(LastRealized="",ROUNDUP(LastPlanned/D9+SprintCount-1,0),ROUNDUP((LastPlanned-LastRealized)/D9,0)+SprintCount))</f>
        <v>6</v>
      </c>
      <c r="F19" t="s">
        <v>48</v>
      </c>
      <c r="G19">
        <f ca="1">LastPlanned</f>
        <v>28</v>
      </c>
    </row>
    <row r="20" spans="1:17" x14ac:dyDescent="0.2">
      <c r="A20" t="s">
        <v>33</v>
      </c>
      <c r="D20" s="51">
        <f ca="1">IF(D10="","",IF(LastRealized="",ROUNDUP(LastPlanned/D10+SprintCount-1,0),ROUNDUP((LastPlanned-LastRealized)/D10,0)+SprintCount))</f>
        <v>6</v>
      </c>
      <c r="F20" t="s">
        <v>49</v>
      </c>
      <c r="G20">
        <f ca="1">LastRealized</f>
        <v>0</v>
      </c>
    </row>
    <row r="21" spans="1:17" x14ac:dyDescent="0.2">
      <c r="A21" t="s">
        <v>34</v>
      </c>
      <c r="D21" s="51">
        <f ca="1">IF(D11="","",IF(LastRealized="",ROUNDUP(LastPlanned/D11+SprintCount-1,0),ROUNDUP((LastPlanned-LastRealized)/D11,0)+SprintCount))</f>
        <v>6</v>
      </c>
    </row>
    <row r="22" spans="1:17" x14ac:dyDescent="0.2">
      <c r="A22" t="s">
        <v>15</v>
      </c>
      <c r="D22" s="51">
        <f ca="1">IF(COUNT(M28:M51)-1&gt;0,COUNT(M28:M51)-1,"")</f>
        <v>6</v>
      </c>
    </row>
    <row r="23" spans="1:17" x14ac:dyDescent="0.2">
      <c r="A23" t="s">
        <v>46</v>
      </c>
      <c r="D23" s="51">
        <f ca="1">IF(D9="","",IF(LastRealized="",ROUNDUP(LastPlanned/(D9+G17)+SprintCount-1,0),ROUNDUP((LastPlanned-LastRealized)/(D9+G17)+SprintCount,0)))</f>
        <v>6</v>
      </c>
    </row>
    <row r="24" spans="1:17" x14ac:dyDescent="0.2">
      <c r="A24" t="s">
        <v>47</v>
      </c>
      <c r="D24" s="51">
        <f ca="1">IF(D9="","",IF(LastRealized="",ROUNDUP(LastPlanned/(D9-G17)+SprintCount-1,0),ROUNDUP((LastPlanned-LastRealized)/(D9-G17)+SprintCount,0)))</f>
        <v>6</v>
      </c>
    </row>
    <row r="26" spans="1:17" ht="12.75" customHeight="1" x14ac:dyDescent="0.2">
      <c r="F26" s="92" t="s">
        <v>15</v>
      </c>
      <c r="G26" s="92"/>
      <c r="H26" s="92"/>
      <c r="I26" s="92"/>
      <c r="J26" s="92"/>
      <c r="K26" s="92"/>
      <c r="L26" s="92"/>
      <c r="M26" s="92"/>
      <c r="N26" s="92"/>
      <c r="O26" s="92" t="s">
        <v>54</v>
      </c>
      <c r="P26" s="92"/>
      <c r="Q26" s="92"/>
    </row>
    <row r="27" spans="1:17" s="3" customFormat="1" ht="25.5" x14ac:dyDescent="0.2">
      <c r="A27" s="107" t="s">
        <v>8</v>
      </c>
      <c r="B27" s="108" t="s">
        <v>50</v>
      </c>
      <c r="C27" s="108" t="s">
        <v>51</v>
      </c>
      <c r="D27" s="52" t="s">
        <v>52</v>
      </c>
      <c r="E27" s="52" t="s">
        <v>53</v>
      </c>
      <c r="F27" s="52" t="s">
        <v>23</v>
      </c>
      <c r="G27" s="91" t="s">
        <v>25</v>
      </c>
      <c r="H27" s="91"/>
      <c r="I27" s="52" t="s">
        <v>24</v>
      </c>
      <c r="J27" s="53"/>
      <c r="K27" s="52" t="s">
        <v>42</v>
      </c>
      <c r="L27" s="52" t="s">
        <v>35</v>
      </c>
      <c r="M27" s="52" t="s">
        <v>30</v>
      </c>
      <c r="N27" s="54" t="s">
        <v>29</v>
      </c>
      <c r="O27" s="52" t="s">
        <v>22</v>
      </c>
      <c r="P27" s="52" t="s">
        <v>55</v>
      </c>
      <c r="Q27" s="52" t="s">
        <v>56</v>
      </c>
    </row>
    <row r="28" spans="1:17" x14ac:dyDescent="0.2">
      <c r="A28" s="109">
        <v>1</v>
      </c>
      <c r="B28" s="109">
        <f>D3</f>
        <v>137</v>
      </c>
      <c r="C28" s="110">
        <v>23</v>
      </c>
      <c r="D28" s="110">
        <v>23</v>
      </c>
      <c r="E28" s="109">
        <f>B28</f>
        <v>137</v>
      </c>
      <c r="F28" s="48">
        <f>B28</f>
        <v>137</v>
      </c>
      <c r="G28" s="48">
        <f t="shared" ref="G28:G51" si="0">F28</f>
        <v>137</v>
      </c>
      <c r="H28" s="48">
        <f t="shared" ref="H28:H33" si="1">I28</f>
        <v>0</v>
      </c>
      <c r="I28" s="48">
        <v>0</v>
      </c>
      <c r="K28">
        <f t="shared" ref="K28:K33" si="2">IF(F28&lt;I28,I28,F28)</f>
        <v>137</v>
      </c>
      <c r="L28" s="48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137.66666666666669</v>
      </c>
      <c r="M28" s="48">
        <f ca="1">L28</f>
        <v>137.66666666666669</v>
      </c>
      <c r="N28" s="48">
        <f t="shared" ref="N28:N51" ca="1" si="4">OFFSET($I$27,TrendSprintCount,0,1,1)</f>
        <v>0</v>
      </c>
      <c r="O28" s="55">
        <f t="shared" ref="O28:O51" ca="1" si="5">D$9</f>
        <v>25</v>
      </c>
      <c r="P28" s="55">
        <f t="shared" ref="P28:P51" ca="1" si="6">D$10</f>
        <v>25</v>
      </c>
      <c r="Q28" s="55">
        <f t="shared" ref="Q28:Q51" ca="1" si="7">D$11</f>
        <v>25</v>
      </c>
    </row>
    <row r="29" spans="1:17" x14ac:dyDescent="0.2">
      <c r="A29" s="109">
        <v>2</v>
      </c>
      <c r="B29" s="109">
        <f t="shared" ref="B29:B51" si="8">IF(OR(B28="",C28=""),"",IF(D28="",IF(B28-C28&lt;=0,"",B28-C28),IF(B28-D28&lt;=0,"",B28-D28)))</f>
        <v>114</v>
      </c>
      <c r="C29" s="110">
        <v>29</v>
      </c>
      <c r="D29" s="110">
        <v>27</v>
      </c>
      <c r="E29" s="109">
        <f>IF(B29="","",IF(D28="",E28,B29+SUM(D$28:D28)))</f>
        <v>137</v>
      </c>
      <c r="F29" s="48">
        <f t="shared" ref="F29:F34" si="9">IF(B29="",IF(B28="","",IF(D28="","",I28)),IF(AND(D28="",C28=""),"",IF(AND(D28="",C28&lt;&gt;""),IF(I28&gt;F28,F28,I28),F28-D28)))</f>
        <v>114</v>
      </c>
      <c r="G29" s="48">
        <f t="shared" si="0"/>
        <v>114</v>
      </c>
      <c r="H29" s="48">
        <f t="shared" si="1"/>
        <v>0</v>
      </c>
      <c r="I29" s="48">
        <f>IF(B29="",IF(B28="","",IF(D28="","",F28-D28)),IF(AND(C28="",D28=""),"",IF(AND(D28="",C28&lt;&gt;""),IF(I28&gt;F28,I28-C28,F28-C28),B$28-B29-SUM(D$28:D28))))</f>
        <v>0</v>
      </c>
      <c r="K29">
        <f t="shared" si="2"/>
        <v>114</v>
      </c>
      <c r="L29" s="48">
        <f t="shared" ca="1" si="3"/>
        <v>112.66666666666669</v>
      </c>
      <c r="M29" s="48">
        <f ca="1">IF(L29=L28,"",L29)</f>
        <v>112.66666666666669</v>
      </c>
      <c r="N29" s="48">
        <f t="shared" ca="1" si="4"/>
        <v>0</v>
      </c>
      <c r="O29" s="55">
        <f t="shared" ca="1" si="5"/>
        <v>25</v>
      </c>
      <c r="P29" s="55">
        <f t="shared" ca="1" si="6"/>
        <v>25</v>
      </c>
      <c r="Q29" s="55">
        <f t="shared" ca="1" si="7"/>
        <v>25</v>
      </c>
    </row>
    <row r="30" spans="1:17" x14ac:dyDescent="0.2">
      <c r="A30" s="109">
        <v>3</v>
      </c>
      <c r="B30" s="109">
        <f t="shared" si="8"/>
        <v>87</v>
      </c>
      <c r="C30" s="110">
        <v>31</v>
      </c>
      <c r="D30" s="110"/>
      <c r="E30" s="109">
        <f>IF(B30="","",IF(D29="",E29,B30+SUM(D$28:D29)))</f>
        <v>137</v>
      </c>
      <c r="F30" s="48">
        <f t="shared" si="9"/>
        <v>87</v>
      </c>
      <c r="G30" s="48">
        <f t="shared" si="0"/>
        <v>87</v>
      </c>
      <c r="H30" s="48">
        <f t="shared" si="1"/>
        <v>0</v>
      </c>
      <c r="I30" s="48">
        <f>IF(B30="",IF(B29="","",IF(D29="","",F29-D29)),IF(AND(C29="",D29=""),"",IF(AND(D29="",C29&lt;&gt;""),IF(I29&gt;F29,I29-C29,F29-C29),B$28-B30-SUM(D$28:D29))))</f>
        <v>0</v>
      </c>
      <c r="K30">
        <f t="shared" si="2"/>
        <v>87</v>
      </c>
      <c r="L30" s="48">
        <f t="shared" ca="1" si="3"/>
        <v>87.666666666666686</v>
      </c>
      <c r="M30" s="48">
        <f t="shared" ref="M30:M51" ca="1" si="10">IF(L30=L29,"",L30)</f>
        <v>87.666666666666686</v>
      </c>
      <c r="N30" s="48">
        <f t="shared" ca="1" si="4"/>
        <v>0</v>
      </c>
      <c r="O30" s="55">
        <f t="shared" ca="1" si="5"/>
        <v>25</v>
      </c>
      <c r="P30" s="55">
        <f t="shared" ca="1" si="6"/>
        <v>25</v>
      </c>
      <c r="Q30" s="55">
        <f t="shared" ca="1" si="7"/>
        <v>25</v>
      </c>
    </row>
    <row r="31" spans="1:17" x14ac:dyDescent="0.2">
      <c r="A31" s="109">
        <v>4</v>
      </c>
      <c r="B31" s="109">
        <f t="shared" si="8"/>
        <v>56</v>
      </c>
      <c r="C31" s="110">
        <v>28</v>
      </c>
      <c r="D31" s="110"/>
      <c r="E31" s="109">
        <f>IF(B31="","",IF(D30="",E30,B31+SUM(D$28:D30)))</f>
        <v>137</v>
      </c>
      <c r="F31" s="48">
        <f t="shared" si="9"/>
        <v>0</v>
      </c>
      <c r="G31" s="48">
        <f t="shared" si="0"/>
        <v>0</v>
      </c>
      <c r="H31" s="48">
        <f t="shared" si="1"/>
        <v>56</v>
      </c>
      <c r="I31" s="48">
        <f>IF(B31="",IF(B30="","",IF(D30="","",F30-D30)),IF(AND(C30="",D30=""),"",IF(AND(D30="",C30&lt;&gt;""),IF(I30&gt;F30,I30-C30,F30-C30),B$28-B31-SUM(D$28:D30))))</f>
        <v>56</v>
      </c>
      <c r="K31">
        <f t="shared" si="2"/>
        <v>56</v>
      </c>
      <c r="L31" s="48">
        <f t="shared" ca="1" si="3"/>
        <v>62.666666666666686</v>
      </c>
      <c r="M31" s="48">
        <f t="shared" ca="1" si="10"/>
        <v>62.666666666666686</v>
      </c>
      <c r="N31" s="48">
        <f t="shared" ca="1" si="4"/>
        <v>0</v>
      </c>
      <c r="O31" s="55">
        <f t="shared" ca="1" si="5"/>
        <v>25</v>
      </c>
      <c r="P31" s="55">
        <f t="shared" ca="1" si="6"/>
        <v>25</v>
      </c>
      <c r="Q31" s="55">
        <f t="shared" ca="1" si="7"/>
        <v>25</v>
      </c>
    </row>
    <row r="32" spans="1:17" x14ac:dyDescent="0.2">
      <c r="A32" s="109">
        <v>5</v>
      </c>
      <c r="B32" s="109">
        <f>IF(OR(B31="",C31=""),"",IF(D31="",IF(B31-C31&lt;=0,"",B31-C31),IF(B31-D31&lt;=0,"",B31-D31)))</f>
        <v>28</v>
      </c>
      <c r="C32" s="110">
        <v>28</v>
      </c>
      <c r="D32" s="110"/>
      <c r="E32" s="109">
        <f>IF(B32="","",IF(D31="",E31,B32+SUM(D$28:D31)))</f>
        <v>137</v>
      </c>
      <c r="F32" s="48">
        <f t="shared" si="9"/>
        <v>0</v>
      </c>
      <c r="G32" s="48">
        <f t="shared" si="0"/>
        <v>0</v>
      </c>
      <c r="H32" s="48">
        <f t="shared" si="1"/>
        <v>28</v>
      </c>
      <c r="I32" s="48">
        <f>IF(B32="",IF(B31="","",IF(D31="","",F31-D31)),IF(AND(C31="",D31=""),"",IF(AND(D31="",C31&lt;&gt;""),IF(I31&gt;F31,I31-C31,F31-C31),B$28-B32-SUM(D$28:D31))))</f>
        <v>28</v>
      </c>
      <c r="K32">
        <f t="shared" si="2"/>
        <v>28</v>
      </c>
      <c r="L32" s="48">
        <f t="shared" ca="1" si="3"/>
        <v>37.666666666666686</v>
      </c>
      <c r="M32" s="48">
        <f t="shared" ca="1" si="10"/>
        <v>37.666666666666686</v>
      </c>
      <c r="N32" s="48">
        <f t="shared" ca="1" si="4"/>
        <v>0</v>
      </c>
      <c r="O32" s="55">
        <f t="shared" ca="1" si="5"/>
        <v>25</v>
      </c>
      <c r="P32" s="55">
        <f t="shared" ca="1" si="6"/>
        <v>25</v>
      </c>
      <c r="Q32" s="55">
        <f t="shared" ca="1" si="7"/>
        <v>25</v>
      </c>
    </row>
    <row r="33" spans="1:17" x14ac:dyDescent="0.2">
      <c r="A33" s="109">
        <v>6</v>
      </c>
      <c r="B33" s="109" t="str">
        <f>IF(OR(B32="",C32=""),"",IF(D32="",IF(B32-C32&lt;=0,"",B32-C32),IF(B32-D32&lt;=0,"",B32-D32)))</f>
        <v/>
      </c>
      <c r="C33" s="110"/>
      <c r="D33" s="110"/>
      <c r="E33" s="109" t="str">
        <f>IF(B33="","",IF(D32="",E32,B33+SUM(D$28:D32)))</f>
        <v/>
      </c>
      <c r="F33" s="48" t="str">
        <f t="shared" si="9"/>
        <v/>
      </c>
      <c r="G33" s="48" t="str">
        <f t="shared" si="0"/>
        <v/>
      </c>
      <c r="H33" s="48" t="str">
        <f t="shared" si="1"/>
        <v/>
      </c>
      <c r="I33" s="48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48">
        <f t="shared" ca="1" si="3"/>
        <v>12.666666666666686</v>
      </c>
      <c r="M33" s="48">
        <f t="shared" ca="1" si="10"/>
        <v>12.666666666666686</v>
      </c>
      <c r="N33" s="48">
        <f t="shared" ca="1" si="4"/>
        <v>0</v>
      </c>
      <c r="O33" s="55">
        <f t="shared" ca="1" si="5"/>
        <v>25</v>
      </c>
      <c r="P33" s="55">
        <f t="shared" ca="1" si="6"/>
        <v>25</v>
      </c>
      <c r="Q33" s="55">
        <f t="shared" ca="1" si="7"/>
        <v>25</v>
      </c>
    </row>
    <row r="34" spans="1:17" x14ac:dyDescent="0.2">
      <c r="A34" s="109">
        <v>7</v>
      </c>
      <c r="B34" s="109" t="str">
        <f>IF(OR(B33="",C33=""),"",IF(D33="",IF(B33-C33&lt;=0,"",B33-C33),IF(B33-D33&lt;=0,"",B33-D33)))</f>
        <v/>
      </c>
      <c r="C34" s="110"/>
      <c r="D34" s="110"/>
      <c r="E34" s="109" t="str">
        <f>IF(B34="","",IF(D33="",E33,B34+SUM(D$28:D33)))</f>
        <v/>
      </c>
      <c r="F34" s="48" t="str">
        <f t="shared" si="9"/>
        <v/>
      </c>
      <c r="G34" s="48" t="str">
        <f t="shared" si="0"/>
        <v/>
      </c>
      <c r="H34" s="48" t="str">
        <f t="shared" ref="H34:H51" si="11">I34</f>
        <v/>
      </c>
      <c r="I34" s="48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48">
        <f t="shared" ca="1" si="3"/>
        <v>0</v>
      </c>
      <c r="M34" s="48">
        <f t="shared" ca="1" si="10"/>
        <v>0</v>
      </c>
      <c r="N34" s="48">
        <f t="shared" ca="1" si="4"/>
        <v>0</v>
      </c>
      <c r="O34" s="55">
        <f t="shared" ca="1" si="5"/>
        <v>25</v>
      </c>
      <c r="P34" s="55">
        <f t="shared" ca="1" si="6"/>
        <v>25</v>
      </c>
      <c r="Q34" s="55">
        <f t="shared" ca="1" si="7"/>
        <v>25</v>
      </c>
    </row>
    <row r="35" spans="1:17" x14ac:dyDescent="0.2">
      <c r="A35" s="109">
        <v>8</v>
      </c>
      <c r="B35" s="109" t="str">
        <f t="shared" si="8"/>
        <v/>
      </c>
      <c r="C35" s="110"/>
      <c r="D35" s="110"/>
      <c r="E35" s="109" t="str">
        <f>IF(B35="","",IF(D34="",E34,B35+SUM(D$28:D34)))</f>
        <v/>
      </c>
      <c r="F35" s="48" t="str">
        <f t="shared" ref="F35:F51" si="13">IF(B35="",IF(B34="","",IF(D34="","",I34)),IF(AND(D34="",C34=""),"",IF(AND(D34="",C34&lt;&gt;""),IF(I34&gt;F34,F34,I34),F34-D34)))</f>
        <v/>
      </c>
      <c r="G35" s="48" t="str">
        <f t="shared" si="0"/>
        <v/>
      </c>
      <c r="H35" s="48" t="str">
        <f t="shared" si="11"/>
        <v/>
      </c>
      <c r="I35" s="48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48">
        <f t="shared" ca="1" si="3"/>
        <v>0</v>
      </c>
      <c r="M35" s="48" t="str">
        <f t="shared" ca="1" si="10"/>
        <v/>
      </c>
      <c r="N35" s="48">
        <f t="shared" ca="1" si="4"/>
        <v>0</v>
      </c>
      <c r="O35" s="55">
        <f t="shared" ca="1" si="5"/>
        <v>25</v>
      </c>
      <c r="P35" s="55">
        <f t="shared" ca="1" si="6"/>
        <v>25</v>
      </c>
      <c r="Q35" s="55">
        <f t="shared" ca="1" si="7"/>
        <v>25</v>
      </c>
    </row>
    <row r="36" spans="1:17" x14ac:dyDescent="0.2">
      <c r="A36" s="109">
        <v>9</v>
      </c>
      <c r="B36" s="109" t="str">
        <f t="shared" si="8"/>
        <v/>
      </c>
      <c r="C36" s="110"/>
      <c r="D36" s="110"/>
      <c r="E36" s="109" t="str">
        <f>IF(B36="","",IF(D35="",E35,B36+SUM(D$28:D35)))</f>
        <v/>
      </c>
      <c r="F36" s="48" t="str">
        <f t="shared" si="13"/>
        <v/>
      </c>
      <c r="G36" s="48" t="str">
        <f t="shared" si="0"/>
        <v/>
      </c>
      <c r="H36" s="48" t="str">
        <f t="shared" si="11"/>
        <v/>
      </c>
      <c r="I36" s="48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48">
        <f t="shared" ca="1" si="3"/>
        <v>0</v>
      </c>
      <c r="M36" s="48" t="str">
        <f t="shared" ca="1" si="10"/>
        <v/>
      </c>
      <c r="N36" s="48">
        <f t="shared" ca="1" si="4"/>
        <v>0</v>
      </c>
      <c r="O36" s="55">
        <f t="shared" ca="1" si="5"/>
        <v>25</v>
      </c>
      <c r="P36" s="55">
        <f t="shared" ca="1" si="6"/>
        <v>25</v>
      </c>
      <c r="Q36" s="55">
        <f t="shared" ca="1" si="7"/>
        <v>25</v>
      </c>
    </row>
    <row r="37" spans="1:17" x14ac:dyDescent="0.2">
      <c r="A37" s="109">
        <v>10</v>
      </c>
      <c r="B37" s="109" t="str">
        <f t="shared" si="8"/>
        <v/>
      </c>
      <c r="C37" s="110"/>
      <c r="D37" s="110"/>
      <c r="E37" s="109" t="str">
        <f>IF(B37="","",IF(D36="",E36,B37+SUM(D$28:D36)))</f>
        <v/>
      </c>
      <c r="F37" s="48" t="str">
        <f t="shared" si="13"/>
        <v/>
      </c>
      <c r="G37" s="48" t="str">
        <f t="shared" si="0"/>
        <v/>
      </c>
      <c r="H37" s="48" t="str">
        <f t="shared" si="11"/>
        <v/>
      </c>
      <c r="I37" s="48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48">
        <f t="shared" ca="1" si="3"/>
        <v>0</v>
      </c>
      <c r="M37" s="48" t="str">
        <f t="shared" ca="1" si="10"/>
        <v/>
      </c>
      <c r="N37" s="48">
        <f t="shared" ca="1" si="4"/>
        <v>0</v>
      </c>
      <c r="O37" s="55">
        <f t="shared" ca="1" si="5"/>
        <v>25</v>
      </c>
      <c r="P37" s="55">
        <f t="shared" ca="1" si="6"/>
        <v>25</v>
      </c>
      <c r="Q37" s="55">
        <f t="shared" ca="1" si="7"/>
        <v>25</v>
      </c>
    </row>
    <row r="38" spans="1:17" x14ac:dyDescent="0.2">
      <c r="A38" s="109">
        <v>11</v>
      </c>
      <c r="B38" s="109" t="str">
        <f t="shared" si="8"/>
        <v/>
      </c>
      <c r="C38" s="110"/>
      <c r="D38" s="110"/>
      <c r="E38" s="109" t="str">
        <f>IF(B38="","",IF(D37="",E37,B38+SUM(D$28:D37)))</f>
        <v/>
      </c>
      <c r="F38" s="48" t="str">
        <f t="shared" si="13"/>
        <v/>
      </c>
      <c r="G38" s="48" t="str">
        <f t="shared" si="0"/>
        <v/>
      </c>
      <c r="H38" s="48" t="str">
        <f t="shared" si="11"/>
        <v/>
      </c>
      <c r="I38" s="48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48">
        <f t="shared" ca="1" si="3"/>
        <v>0</v>
      </c>
      <c r="M38" s="48" t="str">
        <f t="shared" ca="1" si="10"/>
        <v/>
      </c>
      <c r="N38" s="48">
        <f t="shared" ca="1" si="4"/>
        <v>0</v>
      </c>
      <c r="O38" s="55">
        <f t="shared" ca="1" si="5"/>
        <v>25</v>
      </c>
      <c r="P38" s="55">
        <f t="shared" ca="1" si="6"/>
        <v>25</v>
      </c>
      <c r="Q38" s="55">
        <f t="shared" ca="1" si="7"/>
        <v>25</v>
      </c>
    </row>
    <row r="39" spans="1:17" x14ac:dyDescent="0.2">
      <c r="A39" s="109">
        <v>12</v>
      </c>
      <c r="B39" s="109" t="str">
        <f t="shared" si="8"/>
        <v/>
      </c>
      <c r="C39" s="110"/>
      <c r="D39" s="110"/>
      <c r="E39" s="109" t="str">
        <f>IF(B39="","",IF(D38="",E38,B39+SUM(D$28:D38)))</f>
        <v/>
      </c>
      <c r="F39" s="48" t="str">
        <f t="shared" si="13"/>
        <v/>
      </c>
      <c r="G39" s="48" t="str">
        <f t="shared" si="0"/>
        <v/>
      </c>
      <c r="H39" s="48" t="str">
        <f t="shared" si="11"/>
        <v/>
      </c>
      <c r="I39" s="48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48">
        <f t="shared" ca="1" si="3"/>
        <v>0</v>
      </c>
      <c r="M39" s="48" t="str">
        <f t="shared" ca="1" si="10"/>
        <v/>
      </c>
      <c r="N39" s="48">
        <f t="shared" ca="1" si="4"/>
        <v>0</v>
      </c>
      <c r="O39" s="55">
        <f t="shared" ca="1" si="5"/>
        <v>25</v>
      </c>
      <c r="P39" s="55">
        <f t="shared" ca="1" si="6"/>
        <v>25</v>
      </c>
      <c r="Q39" s="55">
        <f t="shared" ca="1" si="7"/>
        <v>25</v>
      </c>
    </row>
    <row r="40" spans="1:17" x14ac:dyDescent="0.2">
      <c r="A40" s="109">
        <v>13</v>
      </c>
      <c r="B40" s="109" t="str">
        <f t="shared" si="8"/>
        <v/>
      </c>
      <c r="C40" s="110"/>
      <c r="D40" s="111"/>
      <c r="E40" s="109" t="str">
        <f>IF(B40="","",IF(D39="",E39,B40+SUM(D$28:D39)))</f>
        <v/>
      </c>
      <c r="F40" s="48" t="str">
        <f t="shared" si="13"/>
        <v/>
      </c>
      <c r="G40" s="48" t="str">
        <f t="shared" si="0"/>
        <v/>
      </c>
      <c r="H40" s="48" t="str">
        <f t="shared" si="11"/>
        <v/>
      </c>
      <c r="I40" s="48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48">
        <f t="shared" ca="1" si="3"/>
        <v>0</v>
      </c>
      <c r="M40" s="48" t="str">
        <f t="shared" ca="1" si="10"/>
        <v/>
      </c>
      <c r="N40" s="48">
        <f t="shared" ca="1" si="4"/>
        <v>0</v>
      </c>
      <c r="O40" s="55">
        <f t="shared" ca="1" si="5"/>
        <v>25</v>
      </c>
      <c r="P40" s="55">
        <f t="shared" ca="1" si="6"/>
        <v>25</v>
      </c>
      <c r="Q40" s="55">
        <f t="shared" ca="1" si="7"/>
        <v>25</v>
      </c>
    </row>
    <row r="41" spans="1:17" x14ac:dyDescent="0.2">
      <c r="A41" s="109">
        <v>14</v>
      </c>
      <c r="B41" s="109" t="str">
        <f t="shared" si="8"/>
        <v/>
      </c>
      <c r="C41" s="110"/>
      <c r="D41" s="111"/>
      <c r="E41" s="109" t="str">
        <f>IF(B41="","",IF(D40="",E40,B41+SUM(D$28:D40)))</f>
        <v/>
      </c>
      <c r="F41" s="48" t="str">
        <f t="shared" si="13"/>
        <v/>
      </c>
      <c r="G41" s="48" t="str">
        <f t="shared" si="0"/>
        <v/>
      </c>
      <c r="H41" s="48" t="str">
        <f t="shared" si="11"/>
        <v/>
      </c>
      <c r="I41" s="48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48">
        <f t="shared" ca="1" si="3"/>
        <v>0</v>
      </c>
      <c r="M41" s="48" t="str">
        <f t="shared" ca="1" si="10"/>
        <v/>
      </c>
      <c r="N41" s="48">
        <f t="shared" ca="1" si="4"/>
        <v>0</v>
      </c>
      <c r="O41" s="55">
        <f t="shared" ca="1" si="5"/>
        <v>25</v>
      </c>
      <c r="P41" s="55">
        <f t="shared" ca="1" si="6"/>
        <v>25</v>
      </c>
      <c r="Q41" s="55">
        <f t="shared" ca="1" si="7"/>
        <v>25</v>
      </c>
    </row>
    <row r="42" spans="1:17" x14ac:dyDescent="0.2">
      <c r="A42" s="109">
        <v>15</v>
      </c>
      <c r="B42" s="109" t="str">
        <f t="shared" si="8"/>
        <v/>
      </c>
      <c r="C42" s="110"/>
      <c r="D42" s="111"/>
      <c r="E42" s="109" t="str">
        <f>IF(B42="","",IF(D41="",E41,B42+SUM(D$28:D41)))</f>
        <v/>
      </c>
      <c r="F42" s="48" t="str">
        <f t="shared" si="13"/>
        <v/>
      </c>
      <c r="G42" s="48" t="str">
        <f t="shared" si="0"/>
        <v/>
      </c>
      <c r="H42" s="48" t="str">
        <f t="shared" si="11"/>
        <v/>
      </c>
      <c r="I42" s="48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48">
        <f t="shared" ca="1" si="3"/>
        <v>0</v>
      </c>
      <c r="M42" s="48" t="str">
        <f t="shared" ca="1" si="10"/>
        <v/>
      </c>
      <c r="N42" s="48">
        <f t="shared" ca="1" si="4"/>
        <v>0</v>
      </c>
      <c r="O42" s="55">
        <f t="shared" ca="1" si="5"/>
        <v>25</v>
      </c>
      <c r="P42" s="55">
        <f t="shared" ca="1" si="6"/>
        <v>25</v>
      </c>
      <c r="Q42" s="55">
        <f t="shared" ca="1" si="7"/>
        <v>25</v>
      </c>
    </row>
    <row r="43" spans="1:17" x14ac:dyDescent="0.2">
      <c r="A43" s="109">
        <v>16</v>
      </c>
      <c r="B43" s="109" t="str">
        <f t="shared" si="8"/>
        <v/>
      </c>
      <c r="C43" s="110"/>
      <c r="D43" s="111"/>
      <c r="E43" s="109" t="str">
        <f>IF(B43="","",IF(D42="",E42,B43+SUM(D$28:D42)))</f>
        <v/>
      </c>
      <c r="F43" s="48" t="str">
        <f t="shared" si="13"/>
        <v/>
      </c>
      <c r="G43" s="48" t="str">
        <f t="shared" si="0"/>
        <v/>
      </c>
      <c r="H43" s="48" t="str">
        <f t="shared" si="11"/>
        <v/>
      </c>
      <c r="I43" s="48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48">
        <f t="shared" ca="1" si="3"/>
        <v>0</v>
      </c>
      <c r="M43" s="48" t="str">
        <f t="shared" ca="1" si="10"/>
        <v/>
      </c>
      <c r="N43" s="48">
        <f t="shared" ca="1" si="4"/>
        <v>0</v>
      </c>
      <c r="O43" s="55">
        <f t="shared" ca="1" si="5"/>
        <v>25</v>
      </c>
      <c r="P43" s="55">
        <f t="shared" ca="1" si="6"/>
        <v>25</v>
      </c>
      <c r="Q43" s="55">
        <f t="shared" ca="1" si="7"/>
        <v>25</v>
      </c>
    </row>
    <row r="44" spans="1:17" x14ac:dyDescent="0.2">
      <c r="A44" s="109">
        <v>17</v>
      </c>
      <c r="B44" s="109" t="str">
        <f t="shared" si="8"/>
        <v/>
      </c>
      <c r="C44" s="110"/>
      <c r="D44" s="111"/>
      <c r="E44" s="109" t="str">
        <f>IF(B44="","",IF(D43="",E43,B44+SUM(D$28:D43)))</f>
        <v/>
      </c>
      <c r="F44" s="48" t="str">
        <f t="shared" si="13"/>
        <v/>
      </c>
      <c r="G44" s="48" t="str">
        <f t="shared" si="0"/>
        <v/>
      </c>
      <c r="H44" s="48" t="str">
        <f t="shared" si="11"/>
        <v/>
      </c>
      <c r="I44" s="48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48">
        <f t="shared" ca="1" si="3"/>
        <v>0</v>
      </c>
      <c r="M44" s="48" t="str">
        <f t="shared" ca="1" si="10"/>
        <v/>
      </c>
      <c r="N44" s="48">
        <f t="shared" ca="1" si="4"/>
        <v>0</v>
      </c>
      <c r="O44" s="55">
        <f t="shared" ca="1" si="5"/>
        <v>25</v>
      </c>
      <c r="P44" s="55">
        <f t="shared" ca="1" si="6"/>
        <v>25</v>
      </c>
      <c r="Q44" s="55">
        <f t="shared" ca="1" si="7"/>
        <v>25</v>
      </c>
    </row>
    <row r="45" spans="1:17" x14ac:dyDescent="0.2">
      <c r="A45" s="109">
        <v>18</v>
      </c>
      <c r="B45" s="109" t="str">
        <f t="shared" si="8"/>
        <v/>
      </c>
      <c r="C45" s="110"/>
      <c r="D45" s="111"/>
      <c r="E45" s="109" t="str">
        <f>IF(B45="","",IF(D44="",E44,B45+SUM(D$28:D44)))</f>
        <v/>
      </c>
      <c r="F45" s="48" t="str">
        <f t="shared" si="13"/>
        <v/>
      </c>
      <c r="G45" s="48" t="str">
        <f t="shared" si="0"/>
        <v/>
      </c>
      <c r="H45" s="48" t="str">
        <f t="shared" si="11"/>
        <v/>
      </c>
      <c r="I45" s="48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48">
        <f t="shared" ca="1" si="3"/>
        <v>0</v>
      </c>
      <c r="M45" s="48" t="str">
        <f t="shared" ca="1" si="10"/>
        <v/>
      </c>
      <c r="N45" s="48">
        <f t="shared" ca="1" si="4"/>
        <v>0</v>
      </c>
      <c r="O45" s="55">
        <f t="shared" ca="1" si="5"/>
        <v>25</v>
      </c>
      <c r="P45" s="55">
        <f t="shared" ca="1" si="6"/>
        <v>25</v>
      </c>
      <c r="Q45" s="55">
        <f t="shared" ca="1" si="7"/>
        <v>25</v>
      </c>
    </row>
    <row r="46" spans="1:17" x14ac:dyDescent="0.2">
      <c r="A46" s="109">
        <v>19</v>
      </c>
      <c r="B46" s="109" t="str">
        <f t="shared" si="8"/>
        <v/>
      </c>
      <c r="C46" s="110"/>
      <c r="D46" s="111"/>
      <c r="E46" s="109" t="str">
        <f>IF(B46="","",IF(D45="",E45,B46+SUM(D$28:D45)))</f>
        <v/>
      </c>
      <c r="F46" s="48" t="str">
        <f t="shared" si="13"/>
        <v/>
      </c>
      <c r="G46" s="48" t="str">
        <f t="shared" si="0"/>
        <v/>
      </c>
      <c r="H46" s="48" t="str">
        <f t="shared" si="11"/>
        <v/>
      </c>
      <c r="I46" s="48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48">
        <f t="shared" ca="1" si="3"/>
        <v>0</v>
      </c>
      <c r="M46" s="48" t="str">
        <f t="shared" ca="1" si="10"/>
        <v/>
      </c>
      <c r="N46" s="48">
        <f t="shared" ca="1" si="4"/>
        <v>0</v>
      </c>
      <c r="O46" s="55">
        <f t="shared" ca="1" si="5"/>
        <v>25</v>
      </c>
      <c r="P46" s="55">
        <f t="shared" ca="1" si="6"/>
        <v>25</v>
      </c>
      <c r="Q46" s="55">
        <f t="shared" ca="1" si="7"/>
        <v>25</v>
      </c>
    </row>
    <row r="47" spans="1:17" x14ac:dyDescent="0.2">
      <c r="A47" s="109">
        <v>20</v>
      </c>
      <c r="B47" s="109" t="str">
        <f t="shared" si="8"/>
        <v/>
      </c>
      <c r="C47" s="110"/>
      <c r="D47" s="111"/>
      <c r="E47" s="109" t="str">
        <f>IF(B47="","",IF(D46="",E46,B47+SUM(D$28:D46)))</f>
        <v/>
      </c>
      <c r="F47" s="48" t="str">
        <f t="shared" si="13"/>
        <v/>
      </c>
      <c r="G47" s="48" t="str">
        <f t="shared" si="0"/>
        <v/>
      </c>
      <c r="H47" s="48" t="str">
        <f t="shared" si="11"/>
        <v/>
      </c>
      <c r="I47" s="48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48">
        <f t="shared" ca="1" si="3"/>
        <v>0</v>
      </c>
      <c r="M47" s="48" t="str">
        <f t="shared" ca="1" si="10"/>
        <v/>
      </c>
      <c r="N47" s="48">
        <f t="shared" ca="1" si="4"/>
        <v>0</v>
      </c>
      <c r="O47" s="55">
        <f t="shared" ca="1" si="5"/>
        <v>25</v>
      </c>
      <c r="P47" s="55">
        <f t="shared" ca="1" si="6"/>
        <v>25</v>
      </c>
      <c r="Q47" s="55">
        <f t="shared" ca="1" si="7"/>
        <v>25</v>
      </c>
    </row>
    <row r="48" spans="1:17" x14ac:dyDescent="0.2">
      <c r="A48" s="109">
        <v>21</v>
      </c>
      <c r="B48" s="109" t="str">
        <f t="shared" si="8"/>
        <v/>
      </c>
      <c r="C48" s="110"/>
      <c r="D48" s="111"/>
      <c r="E48" s="109" t="str">
        <f>IF(B48="","",IF(D47="",E47,B48+SUM(D$28:D47)))</f>
        <v/>
      </c>
      <c r="F48" s="48" t="str">
        <f t="shared" si="13"/>
        <v/>
      </c>
      <c r="G48" s="48" t="str">
        <f t="shared" si="0"/>
        <v/>
      </c>
      <c r="H48" s="48" t="str">
        <f t="shared" si="11"/>
        <v/>
      </c>
      <c r="I48" s="48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48">
        <f t="shared" ca="1" si="3"/>
        <v>0</v>
      </c>
      <c r="M48" s="48" t="str">
        <f t="shared" ca="1" si="10"/>
        <v/>
      </c>
      <c r="N48" s="48">
        <f t="shared" ca="1" si="4"/>
        <v>0</v>
      </c>
      <c r="O48" s="55">
        <f t="shared" ca="1" si="5"/>
        <v>25</v>
      </c>
      <c r="P48" s="55">
        <f t="shared" ca="1" si="6"/>
        <v>25</v>
      </c>
      <c r="Q48" s="55">
        <f t="shared" ca="1" si="7"/>
        <v>25</v>
      </c>
    </row>
    <row r="49" spans="1:17" x14ac:dyDescent="0.2">
      <c r="A49" s="109">
        <v>22</v>
      </c>
      <c r="B49" s="109" t="str">
        <f t="shared" si="8"/>
        <v/>
      </c>
      <c r="C49" s="110"/>
      <c r="D49" s="111"/>
      <c r="E49" s="109" t="str">
        <f>IF(B49="","",IF(D48="",E48,B49+SUM(D$28:D48)))</f>
        <v/>
      </c>
      <c r="F49" s="48" t="str">
        <f t="shared" si="13"/>
        <v/>
      </c>
      <c r="G49" s="48" t="str">
        <f t="shared" si="0"/>
        <v/>
      </c>
      <c r="H49" s="48" t="str">
        <f t="shared" si="11"/>
        <v/>
      </c>
      <c r="I49" s="48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48">
        <f t="shared" ca="1" si="3"/>
        <v>0</v>
      </c>
      <c r="M49" s="48" t="str">
        <f t="shared" ca="1" si="10"/>
        <v/>
      </c>
      <c r="N49" s="48">
        <f t="shared" ca="1" si="4"/>
        <v>0</v>
      </c>
      <c r="O49" s="55">
        <f t="shared" ca="1" si="5"/>
        <v>25</v>
      </c>
      <c r="P49" s="55">
        <f t="shared" ca="1" si="6"/>
        <v>25</v>
      </c>
      <c r="Q49" s="55">
        <f t="shared" ca="1" si="7"/>
        <v>25</v>
      </c>
    </row>
    <row r="50" spans="1:17" x14ac:dyDescent="0.2">
      <c r="A50" s="109">
        <v>23</v>
      </c>
      <c r="B50" s="109" t="str">
        <f t="shared" si="8"/>
        <v/>
      </c>
      <c r="C50" s="110"/>
      <c r="D50" s="111"/>
      <c r="E50" s="109" t="str">
        <f>IF(B50="","",IF(D49="",E49,B50+SUM(D$28:D49)))</f>
        <v/>
      </c>
      <c r="F50" s="48" t="str">
        <f t="shared" si="13"/>
        <v/>
      </c>
      <c r="G50" s="48" t="str">
        <f t="shared" si="0"/>
        <v/>
      </c>
      <c r="H50" s="48" t="str">
        <f t="shared" si="11"/>
        <v/>
      </c>
      <c r="I50" s="48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48">
        <f t="shared" ca="1" si="3"/>
        <v>0</v>
      </c>
      <c r="M50" s="48" t="str">
        <f t="shared" ca="1" si="10"/>
        <v/>
      </c>
      <c r="N50" s="48">
        <f t="shared" ca="1" si="4"/>
        <v>0</v>
      </c>
      <c r="O50" s="55">
        <f t="shared" ca="1" si="5"/>
        <v>25</v>
      </c>
      <c r="P50" s="55">
        <f t="shared" ca="1" si="6"/>
        <v>25</v>
      </c>
      <c r="Q50" s="55">
        <f t="shared" ca="1" si="7"/>
        <v>25</v>
      </c>
    </row>
    <row r="51" spans="1:17" x14ac:dyDescent="0.2">
      <c r="A51" s="109">
        <v>24</v>
      </c>
      <c r="B51" s="109" t="str">
        <f t="shared" si="8"/>
        <v/>
      </c>
      <c r="C51" s="110"/>
      <c r="D51" s="111"/>
      <c r="E51" s="109" t="str">
        <f>IF(B51="","",IF(D50="",E50,B51+SUM(D$28:D50)))</f>
        <v/>
      </c>
      <c r="F51" s="48" t="str">
        <f t="shared" si="13"/>
        <v/>
      </c>
      <c r="G51" s="48" t="str">
        <f t="shared" si="0"/>
        <v/>
      </c>
      <c r="H51" s="48" t="str">
        <f t="shared" si="11"/>
        <v/>
      </c>
      <c r="I51" s="48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48">
        <f t="shared" ca="1" si="3"/>
        <v>0</v>
      </c>
      <c r="M51" s="48" t="str">
        <f t="shared" ca="1" si="10"/>
        <v/>
      </c>
      <c r="N51" s="48">
        <f t="shared" ca="1" si="4"/>
        <v>0</v>
      </c>
      <c r="O51" s="55">
        <f t="shared" ca="1" si="5"/>
        <v>25</v>
      </c>
      <c r="P51" s="55">
        <f t="shared" ca="1" si="6"/>
        <v>25</v>
      </c>
      <c r="Q51" s="55">
        <f t="shared" ca="1" si="7"/>
        <v>25</v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8" priority="1" stopIfTrue="1">
      <formula>$D26="Done"</formula>
    </cfRule>
    <cfRule type="expression" dxfId="7" priority="2" stopIfTrue="1">
      <formula>$D26="Ongoing"</formula>
    </cfRule>
    <cfRule type="expression" dxfId="6" priority="3" stopIfTrue="1">
      <formula>$D26="Removed"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D87"/>
  <sheetViews>
    <sheetView workbookViewId="0">
      <pane ySplit="14" topLeftCell="A15" activePane="bottomLeft" state="frozen"/>
      <selection pane="bottomLeft" activeCell="B10" sqref="B10"/>
    </sheetView>
  </sheetViews>
  <sheetFormatPr defaultRowHeight="12.75" x14ac:dyDescent="0.2"/>
  <cols>
    <col min="1" max="1" width="43.42578125" style="32" customWidth="1"/>
    <col min="2" max="2" width="8.5703125" style="31" customWidth="1"/>
    <col min="3" max="3" width="13.7109375" style="32" customWidth="1"/>
    <col min="4" max="4" width="10.85546875" style="32" customWidth="1"/>
    <col min="5" max="5" width="6.5703125" style="31" customWidth="1"/>
    <col min="6" max="30" width="4.42578125" style="31" customWidth="1"/>
    <col min="31" max="16384" width="9.140625" style="32"/>
  </cols>
  <sheetData>
    <row r="1" spans="1:30" ht="18" x14ac:dyDescent="0.2">
      <c r="A1" s="56">
        <v>1</v>
      </c>
      <c r="B1" s="57"/>
      <c r="E1" s="32"/>
      <c r="F1" s="32"/>
      <c r="G1" s="32"/>
      <c r="H1" s="32"/>
      <c r="I1" s="32"/>
      <c r="J1" s="32"/>
      <c r="K1" s="32"/>
      <c r="L1" s="32"/>
      <c r="M1" s="32"/>
      <c r="N1" s="32"/>
      <c r="O1" s="32"/>
      <c r="P1" s="32"/>
      <c r="Q1" s="32"/>
      <c r="R1" s="32"/>
      <c r="S1" s="32"/>
      <c r="T1" s="32"/>
      <c r="U1" s="32"/>
      <c r="V1" s="32"/>
      <c r="W1" s="32"/>
      <c r="X1" s="32"/>
      <c r="Y1" s="32"/>
      <c r="Z1" s="32"/>
      <c r="AA1" s="32"/>
      <c r="AB1" s="32"/>
      <c r="AC1" s="32"/>
      <c r="AD1" s="32"/>
    </row>
    <row r="2" spans="1:30" x14ac:dyDescent="0.2"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32"/>
      <c r="W2" s="32"/>
      <c r="X2" s="32"/>
      <c r="Y2" s="32"/>
      <c r="Z2" s="32"/>
      <c r="AA2" s="32"/>
      <c r="AB2" s="32"/>
      <c r="AC2" s="32"/>
      <c r="AD2" s="32"/>
    </row>
    <row r="9" spans="1:30" x14ac:dyDescent="0.2">
      <c r="A9" s="58" t="s">
        <v>108</v>
      </c>
      <c r="B9" s="59">
        <v>5</v>
      </c>
      <c r="C9" s="58"/>
      <c r="D9" s="60"/>
      <c r="E9" s="105" t="s">
        <v>121</v>
      </c>
      <c r="F9" s="105" t="s">
        <v>122</v>
      </c>
      <c r="G9" s="58"/>
      <c r="H9" s="58"/>
      <c r="I9" s="58"/>
      <c r="J9" s="58"/>
      <c r="K9" s="58"/>
      <c r="L9" s="58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  <c r="X9" s="60"/>
      <c r="Y9" s="60"/>
      <c r="Z9" s="60"/>
      <c r="AA9" s="60"/>
      <c r="AB9" s="60"/>
      <c r="AC9" s="60"/>
      <c r="AD9" s="60"/>
    </row>
    <row r="10" spans="1:30" x14ac:dyDescent="0.2">
      <c r="A10" s="105" t="s">
        <v>109</v>
      </c>
      <c r="B10" s="59">
        <v>4</v>
      </c>
      <c r="C10" s="105" t="s">
        <v>110</v>
      </c>
      <c r="D10" s="105" t="s">
        <v>120</v>
      </c>
      <c r="E10" s="61">
        <f ca="1">SUM(OFFSET(E14,1,0,TaskRows,1))</f>
        <v>33</v>
      </c>
      <c r="F10" s="61">
        <f ca="1">IF(AND(SUM(OFFSET(F14,1,0,TaskRows,1))=0),0,SUM(OFFSET(F14,1,0,TaskRows,1)))</f>
        <v>33</v>
      </c>
      <c r="G10" s="61">
        <f t="shared" ref="G10:AD10" ca="1" si="0">IF(AND(SUM(OFFSET(G14,1,0,TaskRows,1))=0),"",SUM(OFFSET(G14,1,0,TaskRows,1)))</f>
        <v>28</v>
      </c>
      <c r="H10" s="61">
        <f t="shared" ca="1" si="0"/>
        <v>16</v>
      </c>
      <c r="I10" s="61">
        <f t="shared" ca="1" si="0"/>
        <v>13</v>
      </c>
      <c r="J10" s="61" t="str">
        <f t="shared" ca="1" si="0"/>
        <v/>
      </c>
      <c r="K10" s="61" t="str">
        <f t="shared" ca="1" si="0"/>
        <v/>
      </c>
      <c r="L10" s="61" t="str">
        <f t="shared" ca="1" si="0"/>
        <v/>
      </c>
      <c r="M10" s="61" t="str">
        <f t="shared" ca="1" si="0"/>
        <v/>
      </c>
      <c r="N10" s="61" t="str">
        <f t="shared" ca="1" si="0"/>
        <v/>
      </c>
      <c r="O10" s="61" t="str">
        <f t="shared" ca="1" si="0"/>
        <v/>
      </c>
      <c r="P10" s="61" t="str">
        <f t="shared" ca="1" si="0"/>
        <v/>
      </c>
      <c r="Q10" s="61" t="str">
        <f t="shared" ca="1" si="0"/>
        <v/>
      </c>
      <c r="R10" s="61" t="str">
        <f t="shared" ca="1" si="0"/>
        <v/>
      </c>
      <c r="S10" s="61" t="str">
        <f t="shared" ca="1" si="0"/>
        <v/>
      </c>
      <c r="T10" s="61" t="str">
        <f t="shared" ca="1" si="0"/>
        <v/>
      </c>
      <c r="U10" s="61" t="str">
        <f t="shared" ca="1" si="0"/>
        <v/>
      </c>
      <c r="V10" s="61" t="str">
        <f t="shared" ca="1" si="0"/>
        <v/>
      </c>
      <c r="W10" s="61" t="str">
        <f t="shared" ca="1" si="0"/>
        <v/>
      </c>
      <c r="X10" s="61" t="str">
        <f t="shared" ca="1" si="0"/>
        <v/>
      </c>
      <c r="Y10" s="61" t="str">
        <f t="shared" ca="1" si="0"/>
        <v/>
      </c>
      <c r="Z10" s="61" t="str">
        <f t="shared" ca="1" si="0"/>
        <v/>
      </c>
      <c r="AA10" s="61" t="str">
        <f t="shared" ca="1" si="0"/>
        <v/>
      </c>
      <c r="AB10" s="61" t="str">
        <f t="shared" ca="1" si="0"/>
        <v/>
      </c>
      <c r="AC10" s="61" t="str">
        <f t="shared" ca="1" si="0"/>
        <v/>
      </c>
      <c r="AD10" s="61" t="str">
        <f t="shared" ca="1" si="0"/>
        <v/>
      </c>
    </row>
    <row r="11" spans="1:30" customFormat="1" hidden="1" x14ac:dyDescent="0.2">
      <c r="A11" t="s">
        <v>13</v>
      </c>
      <c r="B11" s="2">
        <f>IF(COUNTA(A15:A242)=0,1,COUNTA(A15:A242))</f>
        <v>4</v>
      </c>
      <c r="C11" t="s">
        <v>14</v>
      </c>
      <c r="D11" s="2">
        <f ca="1">IF(COUNTIF(F10:AD10,"&gt;0")=0,1,COUNTIF(F10:AD10,"&gt;0"))</f>
        <v>4</v>
      </c>
      <c r="E11" s="2"/>
      <c r="F11" s="2">
        <f ca="1">IF(F14="","",$E10-$E10/($B9-1)*(F14-1))</f>
        <v>33</v>
      </c>
      <c r="G11" s="2">
        <f t="shared" ref="G11:AD11" ca="1" si="1">IF(G14="","",TotalEffort-TotalEffort/(ImplementationDays)*(G14-1))</f>
        <v>26.4</v>
      </c>
      <c r="H11" s="2">
        <f t="shared" ca="1" si="1"/>
        <v>19.8</v>
      </c>
      <c r="I11" s="2">
        <f t="shared" ca="1" si="1"/>
        <v>13.200000000000003</v>
      </c>
      <c r="J11" s="2">
        <f t="shared" ca="1" si="1"/>
        <v>6.6000000000000014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49" t="s">
        <v>17</v>
      </c>
      <c r="C12" t="s">
        <v>15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33.299999999999997</v>
      </c>
      <c r="G12" s="2">
        <f t="shared" ca="1" si="2"/>
        <v>26.1</v>
      </c>
      <c r="H12" s="2">
        <f t="shared" ca="1" si="2"/>
        <v>18.900000000000002</v>
      </c>
      <c r="I12" s="2">
        <f t="shared" ca="1" si="2"/>
        <v>11.700000000000003</v>
      </c>
      <c r="J12" s="2">
        <f t="shared" ca="1" si="2"/>
        <v>4.5</v>
      </c>
      <c r="K12" s="2" t="str">
        <f t="shared" ca="1" si="2"/>
        <v/>
      </c>
      <c r="L12" s="2" t="str">
        <f t="shared" ca="1" si="2"/>
        <v/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2">
      <c r="A13" s="49" t="s">
        <v>18</v>
      </c>
      <c r="C13" t="s">
        <v>16</v>
      </c>
      <c r="D13" s="2">
        <f ca="1">IF(DoneDays&gt;B10,B10,DoneDays)</f>
        <v>4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05" t="s">
        <v>117</v>
      </c>
      <c r="B14" s="62" t="s">
        <v>118</v>
      </c>
      <c r="C14" s="105" t="s">
        <v>119</v>
      </c>
      <c r="D14" s="105" t="s">
        <v>96</v>
      </c>
      <c r="E14" s="106" t="s">
        <v>123</v>
      </c>
      <c r="F14" s="62">
        <v>1</v>
      </c>
      <c r="G14" s="62">
        <f t="shared" ref="G14:AD14" si="3">IF($B$9&gt;F14,F14+1,"")</f>
        <v>2</v>
      </c>
      <c r="H14" s="62">
        <f t="shared" si="3"/>
        <v>3</v>
      </c>
      <c r="I14" s="62">
        <f t="shared" si="3"/>
        <v>4</v>
      </c>
      <c r="J14" s="62">
        <f t="shared" si="3"/>
        <v>5</v>
      </c>
      <c r="K14" s="62" t="str">
        <f t="shared" si="3"/>
        <v/>
      </c>
      <c r="L14" s="62" t="str">
        <f t="shared" si="3"/>
        <v/>
      </c>
      <c r="M14" s="62" t="str">
        <f t="shared" si="3"/>
        <v/>
      </c>
      <c r="N14" s="62" t="str">
        <f t="shared" si="3"/>
        <v/>
      </c>
      <c r="O14" s="62" t="str">
        <f t="shared" si="3"/>
        <v/>
      </c>
      <c r="P14" s="62" t="str">
        <f t="shared" si="3"/>
        <v/>
      </c>
      <c r="Q14" s="62" t="str">
        <f t="shared" si="3"/>
        <v/>
      </c>
      <c r="R14" s="62" t="str">
        <f t="shared" si="3"/>
        <v/>
      </c>
      <c r="S14" s="62" t="str">
        <f t="shared" si="3"/>
        <v/>
      </c>
      <c r="T14" s="62" t="str">
        <f t="shared" si="3"/>
        <v/>
      </c>
      <c r="U14" s="62" t="str">
        <f t="shared" si="3"/>
        <v/>
      </c>
      <c r="V14" s="62" t="str">
        <f t="shared" si="3"/>
        <v/>
      </c>
      <c r="W14" s="62" t="str">
        <f t="shared" si="3"/>
        <v/>
      </c>
      <c r="X14" s="62" t="str">
        <f t="shared" si="3"/>
        <v/>
      </c>
      <c r="Y14" s="62" t="str">
        <f t="shared" si="3"/>
        <v/>
      </c>
      <c r="Z14" s="62" t="str">
        <f t="shared" si="3"/>
        <v/>
      </c>
      <c r="AA14" s="62" t="str">
        <f t="shared" si="3"/>
        <v/>
      </c>
      <c r="AB14" s="62" t="str">
        <f t="shared" si="3"/>
        <v/>
      </c>
      <c r="AC14" s="62" t="str">
        <f t="shared" si="3"/>
        <v/>
      </c>
      <c r="AD14" s="62" t="str">
        <f t="shared" si="3"/>
        <v/>
      </c>
    </row>
    <row r="15" spans="1:30" x14ac:dyDescent="0.2">
      <c r="A15" t="s">
        <v>64</v>
      </c>
      <c r="B15" s="2">
        <v>1</v>
      </c>
      <c r="C15" t="s">
        <v>69</v>
      </c>
      <c r="D15" t="s">
        <v>63</v>
      </c>
      <c r="E15" s="2">
        <v>5</v>
      </c>
      <c r="F15" s="2">
        <f>IF(OR(F$14="",$E15=""),"",E15)</f>
        <v>5</v>
      </c>
      <c r="G15" s="2">
        <v>2</v>
      </c>
      <c r="H15" s="2">
        <v>0</v>
      </c>
      <c r="I15" s="2"/>
    </row>
    <row r="16" spans="1:30" x14ac:dyDescent="0.2">
      <c r="A16" t="s">
        <v>65</v>
      </c>
      <c r="B16" s="2">
        <v>1</v>
      </c>
      <c r="C16" t="s">
        <v>70</v>
      </c>
      <c r="D16" t="s">
        <v>66</v>
      </c>
      <c r="E16" s="2">
        <v>7</v>
      </c>
      <c r="F16" s="2">
        <f>IF(OR(F$14="",$E16=""),"",E16)</f>
        <v>7</v>
      </c>
      <c r="G16" s="2">
        <v>7</v>
      </c>
      <c r="H16" s="2">
        <v>2</v>
      </c>
      <c r="I16" s="2">
        <v>2</v>
      </c>
    </row>
    <row r="17" spans="1:30" x14ac:dyDescent="0.2">
      <c r="A17" t="s">
        <v>67</v>
      </c>
      <c r="B17" s="2">
        <v>2</v>
      </c>
      <c r="C17" t="s">
        <v>69</v>
      </c>
      <c r="D17" t="s">
        <v>66</v>
      </c>
      <c r="E17" s="2">
        <v>12</v>
      </c>
      <c r="F17" s="2">
        <f>IF(OR(F$14="",$E17=""),"",E17)</f>
        <v>12</v>
      </c>
      <c r="G17" s="2">
        <v>10</v>
      </c>
      <c r="H17" s="2">
        <v>5</v>
      </c>
      <c r="I17" s="2">
        <v>2</v>
      </c>
      <c r="AC17" s="31" t="str">
        <f>IF(OR(AC$14="",$E17=""),"",AB17)</f>
        <v/>
      </c>
      <c r="AD17" s="31" t="str">
        <f>IF(OR(AD$14="",$E17=""),"",AC17)</f>
        <v/>
      </c>
    </row>
    <row r="18" spans="1:30" x14ac:dyDescent="0.2">
      <c r="A18" t="s">
        <v>68</v>
      </c>
      <c r="B18" s="2">
        <v>2</v>
      </c>
      <c r="C18"/>
      <c r="D18" t="str">
        <f>IF(A18&lt;&gt;"","Planned","")</f>
        <v>Planned</v>
      </c>
      <c r="E18" s="2">
        <v>9</v>
      </c>
      <c r="F18" s="2">
        <f>IF(OR(F$14="",$E18=""),"",E18)</f>
        <v>9</v>
      </c>
      <c r="G18" s="2">
        <v>9</v>
      </c>
      <c r="H18" s="2">
        <v>9</v>
      </c>
      <c r="I18" s="2">
        <v>9</v>
      </c>
    </row>
    <row r="19" spans="1:30" x14ac:dyDescent="0.2">
      <c r="A19" s="29"/>
      <c r="C19"/>
      <c r="D19" s="32" t="str">
        <f>IF(A19&lt;&gt;"","Planned","")</f>
        <v/>
      </c>
      <c r="F19" s="31" t="str">
        <f>IF(OR(F$14="",$E19=""),"",E19)</f>
        <v/>
      </c>
      <c r="AC19" s="31" t="str">
        <f>IF(OR(AC$14="",$E19=""),"",AB19)</f>
        <v/>
      </c>
      <c r="AD19" s="31" t="str">
        <f>IF(OR(AD$14="",$E19=""),"",AC19)</f>
        <v/>
      </c>
    </row>
    <row r="20" spans="1:30" x14ac:dyDescent="0.2">
      <c r="C20"/>
      <c r="D20" s="32" t="str">
        <f>IF(A20&lt;&gt;"","Planned","")</f>
        <v/>
      </c>
      <c r="F20" s="31" t="str">
        <f>IF(OR(F$14="",$E20=""),"",E20)</f>
        <v/>
      </c>
      <c r="AC20" s="31" t="str">
        <f>IF(OR(AC$14="",$E20=""),"",AB20)</f>
        <v/>
      </c>
      <c r="AD20" s="31" t="str">
        <f>IF(OR(AD$14="",$E20=""),"",AC20)</f>
        <v/>
      </c>
    </row>
    <row r="21" spans="1:30" x14ac:dyDescent="0.2">
      <c r="C21"/>
      <c r="D21" s="32" t="str">
        <f>IF(A21&lt;&gt;"","Planned","")</f>
        <v/>
      </c>
      <c r="F21" s="31" t="str">
        <f>IF(OR(F$14="",$E21=""),"",E21)</f>
        <v/>
      </c>
      <c r="AC21" s="31" t="str">
        <f>IF(OR(AC$14="",$E21=""),"",AB21)</f>
        <v/>
      </c>
      <c r="AD21" s="31" t="str">
        <f>IF(OR(AD$14="",$E21=""),"",AC21)</f>
        <v/>
      </c>
    </row>
    <row r="22" spans="1:30" x14ac:dyDescent="0.2">
      <c r="C22"/>
      <c r="D22" s="32" t="str">
        <f>IF(A22&lt;&gt;"","Planned","")</f>
        <v/>
      </c>
      <c r="F22" s="31" t="str">
        <f>IF(OR(F$14="",$E22=""),"",E22)</f>
        <v/>
      </c>
      <c r="AC22" s="31" t="str">
        <f>IF(OR(AC$14="",$E22=""),"",AB22)</f>
        <v/>
      </c>
      <c r="AD22" s="31" t="str">
        <f>IF(OR(AD$14="",$E22=""),"",AC22)</f>
        <v/>
      </c>
    </row>
    <row r="23" spans="1:30" ht="15" customHeight="1" x14ac:dyDescent="0.2">
      <c r="C23"/>
      <c r="D23" s="32" t="str">
        <f>IF(A23&lt;&gt;"","Planned","")</f>
        <v/>
      </c>
      <c r="F23" s="31" t="str">
        <f>IF(OR(F$14="",$E23=""),"",E23)</f>
        <v/>
      </c>
      <c r="AC23" s="31" t="str">
        <f>IF(OR(AC$14="",$E23=""),"",AB23)</f>
        <v/>
      </c>
      <c r="AD23" s="31" t="str">
        <f>IF(OR(AD$14="",$E23=""),"",AC23)</f>
        <v/>
      </c>
    </row>
    <row r="24" spans="1:30" x14ac:dyDescent="0.2">
      <c r="C24"/>
      <c r="D24" s="32" t="str">
        <f>IF(A24&lt;&gt;"","Planned","")</f>
        <v/>
      </c>
      <c r="F24" s="31" t="str">
        <f>IF(OR(F$14="",$E24=""),"",E24)</f>
        <v/>
      </c>
      <c r="AC24" s="31" t="str">
        <f>IF(OR(AC$14="",$E24=""),"",AB24)</f>
        <v/>
      </c>
      <c r="AD24" s="31" t="str">
        <f>IF(OR(AD$14="",$E24=""),"",AC24)</f>
        <v/>
      </c>
    </row>
    <row r="25" spans="1:30" x14ac:dyDescent="0.2">
      <c r="C25"/>
      <c r="D25" s="32" t="str">
        <f>IF(A25&lt;&gt;"","Planned","")</f>
        <v/>
      </c>
      <c r="F25" s="31" t="str">
        <f>IF(OR(F$14="",$E25=""),"",E25)</f>
        <v/>
      </c>
      <c r="AC25" s="31" t="str">
        <f>IF(OR(AC$14="",$E25=""),"",AB25)</f>
        <v/>
      </c>
      <c r="AD25" s="31" t="str">
        <f>IF(OR(AD$14="",$E25=""),"",AC25)</f>
        <v/>
      </c>
    </row>
    <row r="26" spans="1:30" x14ac:dyDescent="0.2">
      <c r="C26"/>
      <c r="D26" s="32" t="str">
        <f>IF(A26&lt;&gt;"","Planned","")</f>
        <v/>
      </c>
      <c r="F26" s="31" t="str">
        <f>IF(OR(F$14="",$E26=""),"",E26)</f>
        <v/>
      </c>
      <c r="AC26" s="31" t="str">
        <f>IF(OR(AC$14="",$E26=""),"",AB26)</f>
        <v/>
      </c>
      <c r="AD26" s="31" t="str">
        <f>IF(OR(AD$14="",$E26=""),"",AC26)</f>
        <v/>
      </c>
    </row>
    <row r="27" spans="1:30" x14ac:dyDescent="0.2">
      <c r="C27"/>
      <c r="D27" s="32" t="str">
        <f>IF(A27&lt;&gt;"","Planned","")</f>
        <v/>
      </c>
      <c r="F27" s="31" t="str">
        <f>IF(OR(F$14="",$E27=""),"",E27)</f>
        <v/>
      </c>
      <c r="AC27" s="31" t="str">
        <f>IF(OR(AC$14="",$E27=""),"",AB27)</f>
        <v/>
      </c>
      <c r="AD27" s="31" t="str">
        <f>IF(OR(AD$14="",$E27=""),"",AC27)</f>
        <v/>
      </c>
    </row>
    <row r="28" spans="1:30" x14ac:dyDescent="0.2">
      <c r="C28"/>
      <c r="D28" s="32" t="str">
        <f>IF(A28&lt;&gt;"","Planned","")</f>
        <v/>
      </c>
      <c r="F28" s="31" t="str">
        <f>IF(OR(F$14="",$E28=""),"",E28)</f>
        <v/>
      </c>
      <c r="AC28" s="31" t="str">
        <f>IF(OR(AC$14="",$E28=""),"",AB28)</f>
        <v/>
      </c>
      <c r="AD28" s="31" t="str">
        <f>IF(OR(AD$14="",$E28=""),"",AC28)</f>
        <v/>
      </c>
    </row>
    <row r="29" spans="1:30" x14ac:dyDescent="0.2">
      <c r="C29"/>
      <c r="D29" s="32" t="str">
        <f>IF(A29&lt;&gt;"","Planned","")</f>
        <v/>
      </c>
      <c r="F29" s="31" t="str">
        <f>IF(OR(F$14="",$E29=""),"",E29)</f>
        <v/>
      </c>
      <c r="AC29" s="31" t="str">
        <f>IF(OR(AC$14="",$E29=""),"",AB29)</f>
        <v/>
      </c>
      <c r="AD29" s="31" t="str">
        <f>IF(OR(AD$14="",$E29=""),"",AC29)</f>
        <v/>
      </c>
    </row>
    <row r="30" spans="1:30" x14ac:dyDescent="0.2">
      <c r="C30"/>
      <c r="D30" s="32" t="str">
        <f>IF(A30&lt;&gt;"","Planned","")</f>
        <v/>
      </c>
      <c r="F30" s="31" t="str">
        <f>IF(OR(F$14="",$E30=""),"",E30)</f>
        <v/>
      </c>
      <c r="AC30" s="31" t="str">
        <f>IF(OR(AC$14="",$E30=""),"",AB30)</f>
        <v/>
      </c>
      <c r="AD30" s="31" t="str">
        <f>IF(OR(AD$14="",$E30=""),"",AC30)</f>
        <v/>
      </c>
    </row>
    <row r="31" spans="1:30" x14ac:dyDescent="0.2">
      <c r="C31"/>
      <c r="D31" s="32" t="str">
        <f>IF(A31&lt;&gt;"","Planned","")</f>
        <v/>
      </c>
      <c r="F31" s="31" t="str">
        <f>IF(OR(F$14="",$E31=""),"",E31)</f>
        <v/>
      </c>
      <c r="AC31" s="31" t="str">
        <f>IF(OR(AC$14="",$E31=""),"",AB31)</f>
        <v/>
      </c>
      <c r="AD31" s="31" t="str">
        <f>IF(OR(AD$14="",$E31=""),"",AC31)</f>
        <v/>
      </c>
    </row>
    <row r="32" spans="1:30" x14ac:dyDescent="0.2">
      <c r="C32"/>
      <c r="D32" s="32" t="str">
        <f>IF(A32&lt;&gt;"","Planned","")</f>
        <v/>
      </c>
      <c r="F32" s="31" t="str">
        <f>IF(OR(F$14="",$E32=""),"",E32)</f>
        <v/>
      </c>
      <c r="AC32" s="31" t="str">
        <f>IF(OR(AC$14="",$E32=""),"",AB32)</f>
        <v/>
      </c>
      <c r="AD32" s="31" t="str">
        <f>IF(OR(AD$14="",$E32=""),"",AC32)</f>
        <v/>
      </c>
    </row>
    <row r="33" spans="1:30" x14ac:dyDescent="0.2">
      <c r="C33"/>
      <c r="D33" s="32" t="str">
        <f>IF(A33&lt;&gt;"","Planned","")</f>
        <v/>
      </c>
      <c r="F33" s="31" t="str">
        <f>IF(OR(F$14="",$E33=""),"",E33)</f>
        <v/>
      </c>
      <c r="AC33" s="31" t="str">
        <f>IF(OR(AC$14="",$E33=""),"",AB33)</f>
        <v/>
      </c>
      <c r="AD33" s="31" t="str">
        <f>IF(OR(AD$14="",$E33=""),"",AC33)</f>
        <v/>
      </c>
    </row>
    <row r="34" spans="1:30" x14ac:dyDescent="0.2">
      <c r="C34"/>
      <c r="D34" s="32" t="str">
        <f>IF(A34&lt;&gt;"","Planned","")</f>
        <v/>
      </c>
      <c r="F34" s="31" t="str">
        <f>IF(OR(F$14="",$E34=""),"",E34)</f>
        <v/>
      </c>
      <c r="AC34" s="31" t="str">
        <f>IF(OR(AC$14="",$E34=""),"",AB34)</f>
        <v/>
      </c>
      <c r="AD34" s="31" t="str">
        <f>IF(OR(AD$14="",$E34=""),"",AC34)</f>
        <v/>
      </c>
    </row>
    <row r="35" spans="1:30" x14ac:dyDescent="0.2">
      <c r="C35"/>
      <c r="D35" s="32" t="str">
        <f>IF(A35&lt;&gt;"","Planned","")</f>
        <v/>
      </c>
      <c r="F35" s="31" t="str">
        <f>IF(OR(F$14="",$E35=""),"",E35)</f>
        <v/>
      </c>
      <c r="AC35" s="31" t="str">
        <f>IF(OR(AC$14="",$E35=""),"",AB35)</f>
        <v/>
      </c>
      <c r="AD35" s="31" t="str">
        <f>IF(OR(AD$14="",$E35=""),"",AC35)</f>
        <v/>
      </c>
    </row>
    <row r="36" spans="1:30" x14ac:dyDescent="0.2">
      <c r="C36"/>
      <c r="D36" s="32" t="str">
        <f>IF(A36&lt;&gt;"","Planned","")</f>
        <v/>
      </c>
      <c r="F36" s="31" t="str">
        <f>IF(OR(F$14="",$E36=""),"",E36)</f>
        <v/>
      </c>
      <c r="AC36" s="31" t="str">
        <f>IF(OR(AC$14="",$E36=""),"",AB36)</f>
        <v/>
      </c>
      <c r="AD36" s="31" t="str">
        <f>IF(OR(AD$14="",$E36=""),"",AC36)</f>
        <v/>
      </c>
    </row>
    <row r="37" spans="1:30" x14ac:dyDescent="0.2">
      <c r="C37"/>
      <c r="D37" s="32" t="str">
        <f>IF(A37&lt;&gt;"","Planned","")</f>
        <v/>
      </c>
      <c r="F37" s="31" t="str">
        <f>IF(OR(F$14="",$E37=""),"",E37)</f>
        <v/>
      </c>
      <c r="AC37" s="31" t="str">
        <f>IF(OR(AC$14="",$E37=""),"",AB37)</f>
        <v/>
      </c>
      <c r="AD37" s="31" t="str">
        <f>IF(OR(AD$14="",$E37=""),"",AC37)</f>
        <v/>
      </c>
    </row>
    <row r="38" spans="1:30" x14ac:dyDescent="0.2">
      <c r="C38"/>
      <c r="D38" s="32" t="str">
        <f>IF(A38&lt;&gt;"","Planned","")</f>
        <v/>
      </c>
      <c r="F38" s="31" t="str">
        <f>IF(OR(F$14="",$E38=""),"",E38)</f>
        <v/>
      </c>
      <c r="AC38" s="31" t="str">
        <f>IF(OR(AC$14="",$E38=""),"",AB38)</f>
        <v/>
      </c>
      <c r="AD38" s="31" t="str">
        <f>IF(OR(AD$14="",$E38=""),"",AC38)</f>
        <v/>
      </c>
    </row>
    <row r="39" spans="1:30" x14ac:dyDescent="0.2">
      <c r="C39"/>
      <c r="D39" s="32" t="str">
        <f>IF(A39&lt;&gt;"","Planned","")</f>
        <v/>
      </c>
      <c r="F39" s="31" t="str">
        <f>IF(OR(F$14="",$E39=""),"",E39)</f>
        <v/>
      </c>
      <c r="AC39" s="31" t="str">
        <f>IF(OR(AC$14="",$E39=""),"",AB39)</f>
        <v/>
      </c>
      <c r="AD39" s="31" t="str">
        <f>IF(OR(AD$14="",$E39=""),"",AC39)</f>
        <v/>
      </c>
    </row>
    <row r="40" spans="1:30" x14ac:dyDescent="0.2">
      <c r="C40"/>
      <c r="D40" s="32" t="str">
        <f>IF(A40&lt;&gt;"","Planned","")</f>
        <v/>
      </c>
      <c r="F40" s="31" t="str">
        <f>IF(OR(F$14="",$E40=""),"",E40)</f>
        <v/>
      </c>
      <c r="G40" s="31" t="str">
        <f>IF(OR(G$14="",$E40=""),"",F40)</f>
        <v/>
      </c>
      <c r="H40" s="31" t="str">
        <f>IF(OR(H$14="",$E40=""),"",G40)</f>
        <v/>
      </c>
      <c r="I40" s="31" t="str">
        <f>IF(OR(I$14="",$E40=""),"",H40)</f>
        <v/>
      </c>
      <c r="J40" s="31" t="str">
        <f>IF(OR(J$14="",$E40=""),"",I40)</f>
        <v/>
      </c>
      <c r="K40" s="31" t="str">
        <f>IF(OR(K$14="",$E40=""),"",J40)</f>
        <v/>
      </c>
      <c r="L40" s="31" t="str">
        <f>IF(OR(L$14="",$E40=""),"",K40)</f>
        <v/>
      </c>
      <c r="M40" s="31" t="str">
        <f>IF(OR(M$14="",$E40=""),"",L40)</f>
        <v/>
      </c>
      <c r="N40" s="31" t="str">
        <f>IF(OR(N$14="",$E40=""),"",M40)</f>
        <v/>
      </c>
      <c r="O40" s="31" t="str">
        <f>IF(OR(O$14="",$E40=""),"",N40)</f>
        <v/>
      </c>
      <c r="P40" s="31" t="str">
        <f>IF(OR(P$14="",$E40=""),"",O40)</f>
        <v/>
      </c>
      <c r="Q40" s="31" t="str">
        <f>IF(OR(Q$14="",$E40=""),"",P40)</f>
        <v/>
      </c>
      <c r="R40" s="31" t="str">
        <f>IF(OR(R$14="",$E40=""),"",Q40)</f>
        <v/>
      </c>
      <c r="S40" s="31" t="str">
        <f>IF(OR(S$14="",$E40=""),"",R40)</f>
        <v/>
      </c>
      <c r="T40" s="31" t="str">
        <f>IF(OR(T$14="",$E40=""),"",S40)</f>
        <v/>
      </c>
      <c r="U40" s="31" t="str">
        <f>IF(OR(U$14="",$E40=""),"",T40)</f>
        <v/>
      </c>
      <c r="V40" s="31" t="str">
        <f>IF(OR(V$14="",$E40=""),"",U40)</f>
        <v/>
      </c>
      <c r="W40" s="31" t="str">
        <f>IF(OR(W$14="",$E40=""),"",V40)</f>
        <v/>
      </c>
      <c r="X40" s="31" t="str">
        <f>IF(OR(X$14="",$E40=""),"",W40)</f>
        <v/>
      </c>
      <c r="Y40" s="31" t="str">
        <f>IF(OR(Y$14="",$E40=""),"",X40)</f>
        <v/>
      </c>
      <c r="Z40" s="31" t="str">
        <f>IF(OR(Z$14="",$E40=""),"",Y40)</f>
        <v/>
      </c>
      <c r="AA40" s="31" t="str">
        <f>IF(OR(AA$14="",$E40=""),"",Z40)</f>
        <v/>
      </c>
      <c r="AB40" s="31" t="str">
        <f>IF(OR(AB$14="",$E40=""),"",AA40)</f>
        <v/>
      </c>
      <c r="AC40" s="31" t="str">
        <f>IF(OR(AC$14="",$E40=""),"",AB40)</f>
        <v/>
      </c>
      <c r="AD40" s="31" t="str">
        <f>IF(OR(AD$14="",$E40=""),"",AC40)</f>
        <v/>
      </c>
    </row>
    <row r="41" spans="1:30" x14ac:dyDescent="0.2">
      <c r="C41"/>
      <c r="D41" s="32" t="str">
        <f>IF(A41&lt;&gt;"","Planned","")</f>
        <v/>
      </c>
      <c r="F41" s="31" t="str">
        <f>IF(OR(F$14="",$E41=""),"",E41)</f>
        <v/>
      </c>
      <c r="G41" s="31" t="str">
        <f>IF(OR(G$14="",$E41=""),"",F41)</f>
        <v/>
      </c>
      <c r="H41" s="31" t="str">
        <f>IF(OR(H$14="",$E41=""),"",G41)</f>
        <v/>
      </c>
      <c r="I41" s="31" t="str">
        <f>IF(OR(I$14="",$E41=""),"",H41)</f>
        <v/>
      </c>
      <c r="J41" s="31" t="str">
        <f>IF(OR(J$14="",$E41=""),"",I41)</f>
        <v/>
      </c>
      <c r="K41" s="31" t="str">
        <f>IF(OR(K$14="",$E41=""),"",J41)</f>
        <v/>
      </c>
      <c r="L41" s="31" t="str">
        <f>IF(OR(L$14="",$E41=""),"",K41)</f>
        <v/>
      </c>
      <c r="M41" s="31" t="str">
        <f>IF(OR(M$14="",$E41=""),"",L41)</f>
        <v/>
      </c>
      <c r="N41" s="31" t="str">
        <f>IF(OR(N$14="",$E41=""),"",M41)</f>
        <v/>
      </c>
      <c r="O41" s="31" t="str">
        <f>IF(OR(O$14="",$E41=""),"",N41)</f>
        <v/>
      </c>
      <c r="P41" s="31" t="str">
        <f>IF(OR(P$14="",$E41=""),"",O41)</f>
        <v/>
      </c>
      <c r="Q41" s="31" t="str">
        <f>IF(OR(Q$14="",$E41=""),"",P41)</f>
        <v/>
      </c>
      <c r="R41" s="31" t="str">
        <f>IF(OR(R$14="",$E41=""),"",Q41)</f>
        <v/>
      </c>
      <c r="S41" s="31" t="str">
        <f>IF(OR(S$14="",$E41=""),"",R41)</f>
        <v/>
      </c>
      <c r="T41" s="31" t="str">
        <f>IF(OR(T$14="",$E41=""),"",S41)</f>
        <v/>
      </c>
      <c r="U41" s="31" t="str">
        <f>IF(OR(U$14="",$E41=""),"",T41)</f>
        <v/>
      </c>
      <c r="V41" s="31" t="str">
        <f>IF(OR(V$14="",$E41=""),"",U41)</f>
        <v/>
      </c>
      <c r="W41" s="31" t="str">
        <f>IF(OR(W$14="",$E41=""),"",V41)</f>
        <v/>
      </c>
      <c r="X41" s="31" t="str">
        <f>IF(OR(X$14="",$E41=""),"",W41)</f>
        <v/>
      </c>
      <c r="Y41" s="31" t="str">
        <f>IF(OR(Y$14="",$E41=""),"",X41)</f>
        <v/>
      </c>
      <c r="Z41" s="31" t="str">
        <f>IF(OR(Z$14="",$E41=""),"",Y41)</f>
        <v/>
      </c>
      <c r="AA41" s="31" t="str">
        <f>IF(OR(AA$14="",$E41=""),"",Z41)</f>
        <v/>
      </c>
      <c r="AB41" s="31" t="str">
        <f>IF(OR(AB$14="",$E41=""),"",AA41)</f>
        <v/>
      </c>
      <c r="AC41" s="31" t="str">
        <f>IF(OR(AC$14="",$E41=""),"",AB41)</f>
        <v/>
      </c>
      <c r="AD41" s="31" t="str">
        <f>IF(OR(AD$14="",$E41=""),"",AC41)</f>
        <v/>
      </c>
    </row>
    <row r="42" spans="1:30" x14ac:dyDescent="0.2">
      <c r="A42" s="29"/>
      <c r="C42"/>
      <c r="AC42" s="31" t="str">
        <f>IF(OR(AC$14="",$E42=""),"",AB42)</f>
        <v/>
      </c>
      <c r="AD42" s="31" t="str">
        <f>IF(OR(AD$14="",$E42=""),"",AC42)</f>
        <v/>
      </c>
    </row>
    <row r="43" spans="1:30" x14ac:dyDescent="0.2">
      <c r="A43" s="29"/>
      <c r="C43"/>
      <c r="AC43" s="31" t="str">
        <f>IF(OR(AC$14="",$E43=""),"",AB43)</f>
        <v/>
      </c>
      <c r="AD43" s="31" t="str">
        <f>IF(OR(AD$14="",$E43=""),"",AC43)</f>
        <v/>
      </c>
    </row>
    <row r="44" spans="1:30" x14ac:dyDescent="0.2">
      <c r="A44" s="29"/>
      <c r="C44"/>
      <c r="AC44" s="31" t="str">
        <f>IF(OR(AC$14="",$E44=""),"",AB44)</f>
        <v/>
      </c>
      <c r="AD44" s="31" t="str">
        <f>IF(OR(AD$14="",$E44=""),"",AC44)</f>
        <v/>
      </c>
    </row>
    <row r="45" spans="1:30" x14ac:dyDescent="0.2">
      <c r="A45" s="29"/>
      <c r="C45"/>
      <c r="AC45" s="31" t="str">
        <f>IF(OR(AC$14="",$E45=""),"",AB45)</f>
        <v/>
      </c>
      <c r="AD45" s="31" t="str">
        <f>IF(OR(AD$14="",$E45=""),"",AC45)</f>
        <v/>
      </c>
    </row>
    <row r="46" spans="1:30" x14ac:dyDescent="0.2">
      <c r="A46" s="29"/>
      <c r="C46"/>
      <c r="AC46" s="31" t="str">
        <f>IF(OR(AC$14="",$E46=""),"",AB46)</f>
        <v/>
      </c>
      <c r="AD46" s="31" t="str">
        <f>IF(OR(AD$14="",$E46=""),"",AC46)</f>
        <v/>
      </c>
    </row>
    <row r="47" spans="1:30" x14ac:dyDescent="0.2">
      <c r="A47" s="29"/>
      <c r="C47"/>
      <c r="AC47" s="31" t="str">
        <f>IF(OR(AC$14="",$E47=""),"",AB47)</f>
        <v/>
      </c>
      <c r="AD47" s="31" t="str">
        <f>IF(OR(AD$14="",$E47=""),"",AC47)</f>
        <v/>
      </c>
    </row>
    <row r="48" spans="1:30" x14ac:dyDescent="0.2">
      <c r="A48" s="29"/>
      <c r="C48"/>
    </row>
    <row r="49" spans="1:30" x14ac:dyDescent="0.2">
      <c r="A49" s="29"/>
      <c r="C49"/>
      <c r="AC49" s="31" t="str">
        <f>IF(OR(AC$14="",$E49=""),"",AB49)</f>
        <v/>
      </c>
      <c r="AD49" s="31" t="str">
        <f>IF(OR(AD$14="",$E49=""),"",AC49)</f>
        <v/>
      </c>
    </row>
    <row r="50" spans="1:30" x14ac:dyDescent="0.2">
      <c r="A50" s="29"/>
      <c r="C50"/>
      <c r="AC50" s="31" t="str">
        <f>IF(OR(AC$14="",$E50=""),"",AB50)</f>
        <v/>
      </c>
      <c r="AD50" s="31" t="str">
        <f>IF(OR(AD$14="",$E50=""),"",AC50)</f>
        <v/>
      </c>
    </row>
    <row r="51" spans="1:30" x14ac:dyDescent="0.2">
      <c r="A51" s="29"/>
      <c r="C51"/>
      <c r="AC51" s="31" t="str">
        <f>IF(OR(AC$14="",$E51=""),"",AB51)</f>
        <v/>
      </c>
      <c r="AD51" s="31" t="str">
        <f>IF(OR(AD$14="",$E51=""),"",AC51)</f>
        <v/>
      </c>
    </row>
    <row r="52" spans="1:30" x14ac:dyDescent="0.2">
      <c r="A52" s="29"/>
      <c r="C52"/>
      <c r="AC52" s="31" t="str">
        <f>IF(OR(AC$14="",$E52=""),"",AB52)</f>
        <v/>
      </c>
      <c r="AD52" s="31" t="str">
        <f>IF(OR(AD$14="",$E52=""),"",AC52)</f>
        <v/>
      </c>
    </row>
    <row r="53" spans="1:30" x14ac:dyDescent="0.2">
      <c r="A53" s="29"/>
      <c r="C53"/>
      <c r="AC53" s="31" t="str">
        <f>IF(OR(AC$14="",$E53=""),"",AB53)</f>
        <v/>
      </c>
      <c r="AD53" s="31" t="str">
        <f>IF(OR(AD$14="",$E53=""),"",AC53)</f>
        <v/>
      </c>
    </row>
    <row r="54" spans="1:30" x14ac:dyDescent="0.2">
      <c r="A54" s="29"/>
      <c r="C54"/>
      <c r="AC54" s="31" t="str">
        <f>IF(OR(AC$14="",$E54=""),"",AB54)</f>
        <v/>
      </c>
      <c r="AD54" s="31" t="str">
        <f>IF(OR(AD$14="",$E54=""),"",AC54)</f>
        <v/>
      </c>
    </row>
    <row r="55" spans="1:30" x14ac:dyDescent="0.2">
      <c r="A55" s="29"/>
      <c r="C55"/>
      <c r="AC55" s="31" t="str">
        <f>IF(OR(AC$14="",$E55=""),"",AB55)</f>
        <v/>
      </c>
      <c r="AD55" s="31" t="str">
        <f>IF(OR(AD$14="",$E55=""),"",AC55)</f>
        <v/>
      </c>
    </row>
    <row r="56" spans="1:30" x14ac:dyDescent="0.2">
      <c r="A56" s="29"/>
      <c r="C56"/>
      <c r="AC56" s="31" t="str">
        <f>IF(OR(AC$14="",$E56=""),"",AB56)</f>
        <v/>
      </c>
      <c r="AD56" s="31" t="str">
        <f>IF(OR(AD$14="",$E56=""),"",AC56)</f>
        <v/>
      </c>
    </row>
    <row r="57" spans="1:30" x14ac:dyDescent="0.2">
      <c r="A57" s="29"/>
      <c r="C57"/>
      <c r="AC57" s="31" t="str">
        <f>IF(OR(AC$14="",$E57=""),"",AB57)</f>
        <v/>
      </c>
      <c r="AD57" s="31" t="str">
        <f>IF(OR(AD$14="",$E57=""),"",AC57)</f>
        <v/>
      </c>
    </row>
    <row r="58" spans="1:30" x14ac:dyDescent="0.2">
      <c r="A58" s="29"/>
      <c r="C58"/>
    </row>
    <row r="59" spans="1:30" x14ac:dyDescent="0.2">
      <c r="A59" s="29"/>
      <c r="C59"/>
      <c r="AC59" s="31" t="str">
        <f>IF(OR(AC$14="",$E59=""),"",AB59)</f>
        <v/>
      </c>
      <c r="AD59" s="31" t="str">
        <f>IF(OR(AD$14="",$E59=""),"",AC59)</f>
        <v/>
      </c>
    </row>
    <row r="60" spans="1:30" x14ac:dyDescent="0.2">
      <c r="A60" s="29"/>
      <c r="C60"/>
      <c r="AC60" s="31" t="str">
        <f>IF(OR(AC$14="",$E60=""),"",AB60)</f>
        <v/>
      </c>
      <c r="AD60" s="31" t="str">
        <f>IF(OR(AD$14="",$E60=""),"",AC60)</f>
        <v/>
      </c>
    </row>
    <row r="61" spans="1:30" x14ac:dyDescent="0.2">
      <c r="A61" s="29"/>
      <c r="C61"/>
      <c r="AC61" s="31" t="str">
        <f>IF(OR(AC$14="",$E61=""),"",AB61)</f>
        <v/>
      </c>
      <c r="AD61" s="31" t="str">
        <f>IF(OR(AD$14="",$E61=""),"",AC61)</f>
        <v/>
      </c>
    </row>
    <row r="62" spans="1:30" x14ac:dyDescent="0.2">
      <c r="A62" s="29"/>
      <c r="C62"/>
      <c r="AC62" s="31" t="str">
        <f>IF(OR(AC$14="",$E62=""),"",AB62)</f>
        <v/>
      </c>
      <c r="AD62" s="31" t="str">
        <f>IF(OR(AD$14="",$E62=""),"",AC62)</f>
        <v/>
      </c>
    </row>
    <row r="63" spans="1:30" x14ac:dyDescent="0.2">
      <c r="A63" s="29"/>
      <c r="C63"/>
      <c r="AC63" s="31" t="str">
        <f>IF(OR(AC$14="",$E63=""),"",AB63)</f>
        <v/>
      </c>
      <c r="AD63" s="31" t="str">
        <f>IF(OR(AD$14="",$E63=""),"",AC63)</f>
        <v/>
      </c>
    </row>
    <row r="64" spans="1:30" x14ac:dyDescent="0.2">
      <c r="C64"/>
      <c r="D64" s="32" t="str">
        <f t="shared" ref="D41:D64" si="4">IF(A64&lt;&gt;"","Planned","")</f>
        <v/>
      </c>
    </row>
    <row r="65" spans="3:3" x14ac:dyDescent="0.2">
      <c r="C65"/>
    </row>
    <row r="66" spans="3:3" x14ac:dyDescent="0.2">
      <c r="C66"/>
    </row>
    <row r="67" spans="3:3" x14ac:dyDescent="0.2">
      <c r="C67"/>
    </row>
    <row r="68" spans="3:3" x14ac:dyDescent="0.2">
      <c r="C68"/>
    </row>
    <row r="69" spans="3:3" x14ac:dyDescent="0.2">
      <c r="C69"/>
    </row>
    <row r="70" spans="3:3" x14ac:dyDescent="0.2">
      <c r="C70"/>
    </row>
    <row r="71" spans="3:3" x14ac:dyDescent="0.2">
      <c r="C71"/>
    </row>
    <row r="72" spans="3:3" x14ac:dyDescent="0.2">
      <c r="C72"/>
    </row>
    <row r="73" spans="3:3" x14ac:dyDescent="0.2">
      <c r="C73"/>
    </row>
    <row r="74" spans="3:3" x14ac:dyDescent="0.2">
      <c r="C74"/>
    </row>
    <row r="75" spans="3:3" x14ac:dyDescent="0.2">
      <c r="C75"/>
    </row>
    <row r="76" spans="3:3" x14ac:dyDescent="0.2">
      <c r="C76"/>
    </row>
    <row r="77" spans="3:3" x14ac:dyDescent="0.2">
      <c r="C77"/>
    </row>
    <row r="78" spans="3:3" x14ac:dyDescent="0.2">
      <c r="C78"/>
    </row>
    <row r="79" spans="3:3" x14ac:dyDescent="0.2">
      <c r="C79"/>
    </row>
    <row r="80" spans="3:3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</sheetData>
  <sortState ref="A15:AD63">
    <sortCondition ref="B14"/>
    <sortCondition ref="D14"/>
  </sortState>
  <phoneticPr fontId="2" type="noConversion"/>
  <conditionalFormatting sqref="A15:AD5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4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4" name="Button 3">
              <controlPr defaultSize="0" print="0" autoFill="0" autoPict="0" macro="[0]!SortSprintTasks">
                <anchor moveWithCells="1" sizeWithCells="1">
                  <from>
                    <xdr:col>0</xdr:col>
                    <xdr:colOff>238125</xdr:colOff>
                    <xdr:row>5</xdr:row>
                    <xdr:rowOff>85725</xdr:rowOff>
                  </from>
                  <to>
                    <xdr:col>0</xdr:col>
                    <xdr:colOff>2009775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5" name="Button 7">
              <controlPr defaultSize="0" print="0" autoFill="0" autoPict="0" macro="[0]!UpdateTaskSlips">
                <anchor moveWithCells="1" sizeWithCells="1">
                  <from>
                    <xdr:col>0</xdr:col>
                    <xdr:colOff>2257425</xdr:colOff>
                    <xdr:row>5</xdr:row>
                    <xdr:rowOff>85725</xdr:rowOff>
                  </from>
                  <to>
                    <xdr:col>2</xdr:col>
                    <xdr:colOff>295275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64"/>
  <sheetViews>
    <sheetView workbookViewId="0">
      <pane ySplit="14" topLeftCell="A15" activePane="bottomLeft" state="frozen"/>
      <selection pane="bottomLeft" activeCell="E22" sqref="E22"/>
    </sheetView>
  </sheetViews>
  <sheetFormatPr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</cols>
  <sheetData>
    <row r="1" spans="1:30" ht="18" x14ac:dyDescent="0.25">
      <c r="A1" s="28">
        <v>1</v>
      </c>
      <c r="B1" s="34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5" t="s">
        <v>7</v>
      </c>
      <c r="B9" s="33">
        <v>5</v>
      </c>
      <c r="C9" s="15"/>
      <c r="D9" s="13"/>
      <c r="E9" s="17" t="s">
        <v>4</v>
      </c>
      <c r="F9" s="17" t="s">
        <v>6</v>
      </c>
      <c r="G9" s="17"/>
      <c r="H9" s="17"/>
      <c r="I9" s="17"/>
      <c r="J9" s="17"/>
      <c r="K9" s="17"/>
      <c r="L9" s="17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</row>
    <row r="10" spans="1:30" x14ac:dyDescent="0.2">
      <c r="A10" s="15" t="s">
        <v>19</v>
      </c>
      <c r="B10" s="33">
        <v>5</v>
      </c>
      <c r="C10" s="15" t="s">
        <v>20</v>
      </c>
      <c r="D10" s="15" t="s">
        <v>9</v>
      </c>
      <c r="E10" s="14">
        <f ca="1">SUM(OFFSET(E14,1,0,TaskRows,1))</f>
        <v>0</v>
      </c>
      <c r="F10" s="14">
        <f ca="1">IF(AND(SUM(OFFSET(F14,1,0,TaskRows,1))=0),0,SUM(OFFSET(F14,1,0,TaskRows,1)))</f>
        <v>0</v>
      </c>
      <c r="G10" s="14" t="str">
        <f t="shared" ref="G10:AD10" ca="1" si="0">IF(AND(SUM(OFFSET(G14,1,0,TaskRows,1))=0),"",SUM(OFFSET(G14,1,0,TaskRows,1)))</f>
        <v/>
      </c>
      <c r="H10" s="14" t="str">
        <f t="shared" ca="1" si="0"/>
        <v/>
      </c>
      <c r="I10" s="14" t="str">
        <f t="shared" ca="1" si="0"/>
        <v/>
      </c>
      <c r="J10" s="14" t="str">
        <f t="shared" ca="1" si="0"/>
        <v/>
      </c>
      <c r="K10" s="14" t="str">
        <f t="shared" ca="1" si="0"/>
        <v/>
      </c>
      <c r="L10" s="14" t="str">
        <f t="shared" ca="1" si="0"/>
        <v/>
      </c>
      <c r="M10" s="14" t="str">
        <f t="shared" ca="1" si="0"/>
        <v/>
      </c>
      <c r="N10" s="14" t="str">
        <f t="shared" ca="1" si="0"/>
        <v/>
      </c>
      <c r="O10" s="14" t="str">
        <f t="shared" ca="1" si="0"/>
        <v/>
      </c>
      <c r="P10" s="14" t="str">
        <f t="shared" ca="1" si="0"/>
        <v/>
      </c>
      <c r="Q10" s="14" t="str">
        <f t="shared" ca="1" si="0"/>
        <v/>
      </c>
      <c r="R10" s="14" t="str">
        <f t="shared" ca="1" si="0"/>
        <v/>
      </c>
      <c r="S10" s="14" t="str">
        <f t="shared" ca="1" si="0"/>
        <v/>
      </c>
      <c r="T10" s="14" t="str">
        <f t="shared" ca="1" si="0"/>
        <v/>
      </c>
      <c r="U10" s="14" t="str">
        <f t="shared" ca="1" si="0"/>
        <v/>
      </c>
      <c r="V10" s="14" t="str">
        <f t="shared" ca="1" si="0"/>
        <v/>
      </c>
      <c r="W10" s="14" t="str">
        <f t="shared" ca="1" si="0"/>
        <v/>
      </c>
      <c r="X10" s="14" t="str">
        <f t="shared" ca="1" si="0"/>
        <v/>
      </c>
      <c r="Y10" s="14" t="str">
        <f t="shared" ca="1" si="0"/>
        <v/>
      </c>
      <c r="Z10" s="14" t="str">
        <f t="shared" ca="1" si="0"/>
        <v/>
      </c>
      <c r="AA10" s="14" t="str">
        <f t="shared" ca="1" si="0"/>
        <v/>
      </c>
      <c r="AB10" s="14" t="str">
        <f t="shared" ca="1" si="0"/>
        <v/>
      </c>
      <c r="AC10" s="14" t="str">
        <f t="shared" ca="1" si="0"/>
        <v/>
      </c>
      <c r="AD10" s="14" t="str">
        <f t="shared" ca="1" si="0"/>
        <v/>
      </c>
    </row>
    <row r="11" spans="1:30" hidden="1" x14ac:dyDescent="0.2">
      <c r="A11" t="s">
        <v>13</v>
      </c>
      <c r="B11" s="2">
        <f>IF(COUNTA(A15:A242)=0,1,COUNTA(A15:A242))</f>
        <v>1</v>
      </c>
      <c r="C11" t="s">
        <v>14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49" t="s">
        <v>17</v>
      </c>
      <c r="B12"/>
      <c r="C12" t="s">
        <v>15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49" t="s">
        <v>18</v>
      </c>
      <c r="B13"/>
      <c r="C13" t="s">
        <v>16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5" t="s">
        <v>2</v>
      </c>
      <c r="B14" s="16" t="s">
        <v>12</v>
      </c>
      <c r="C14" s="15" t="s">
        <v>3</v>
      </c>
      <c r="D14" s="15" t="s">
        <v>0</v>
      </c>
      <c r="E14" s="16" t="s">
        <v>5</v>
      </c>
      <c r="F14" s="16">
        <v>1</v>
      </c>
      <c r="G14" s="16">
        <f t="shared" ref="G14:AD14" si="3">IF($B$9&gt;F14,F14+1,"")</f>
        <v>2</v>
      </c>
      <c r="H14" s="16">
        <f t="shared" si="3"/>
        <v>3</v>
      </c>
      <c r="I14" s="16">
        <f t="shared" si="3"/>
        <v>4</v>
      </c>
      <c r="J14" s="16">
        <f t="shared" si="3"/>
        <v>5</v>
      </c>
      <c r="K14" s="16" t="str">
        <f t="shared" si="3"/>
        <v/>
      </c>
      <c r="L14" s="16" t="str">
        <f t="shared" si="3"/>
        <v/>
      </c>
      <c r="M14" s="16" t="str">
        <f t="shared" si="3"/>
        <v/>
      </c>
      <c r="N14" s="16" t="str">
        <f t="shared" si="3"/>
        <v/>
      </c>
      <c r="O14" s="16" t="str">
        <f t="shared" si="3"/>
        <v/>
      </c>
      <c r="P14" s="16" t="str">
        <f t="shared" si="3"/>
        <v/>
      </c>
      <c r="Q14" s="16" t="str">
        <f t="shared" si="3"/>
        <v/>
      </c>
      <c r="R14" s="16" t="str">
        <f t="shared" si="3"/>
        <v/>
      </c>
      <c r="S14" s="16" t="str">
        <f t="shared" si="3"/>
        <v/>
      </c>
      <c r="T14" s="16" t="str">
        <f t="shared" si="3"/>
        <v/>
      </c>
      <c r="U14" s="16" t="str">
        <f t="shared" si="3"/>
        <v/>
      </c>
      <c r="V14" s="16" t="str">
        <f t="shared" si="3"/>
        <v/>
      </c>
      <c r="W14" s="16" t="str">
        <f t="shared" si="3"/>
        <v/>
      </c>
      <c r="X14" s="16" t="str">
        <f t="shared" si="3"/>
        <v/>
      </c>
      <c r="Y14" s="16" t="str">
        <f t="shared" si="3"/>
        <v/>
      </c>
      <c r="Z14" s="16" t="str">
        <f t="shared" si="3"/>
        <v/>
      </c>
      <c r="AA14" s="16" t="str">
        <f t="shared" si="3"/>
        <v/>
      </c>
      <c r="AB14" s="16" t="str">
        <f t="shared" si="3"/>
        <v/>
      </c>
      <c r="AC14" s="16" t="str">
        <f t="shared" si="3"/>
        <v/>
      </c>
      <c r="AD14" s="16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9" r:id="rId4" name="Button 13">
              <controlPr defaultSize="0" print="0" autoFill="0" autoPict="0" macro="[0]!SortSprintTasks">
                <anchor moveWithCells="1" sizeWithCells="1">
                  <from>
                    <xdr:col>0</xdr:col>
                    <xdr:colOff>238125</xdr:colOff>
                    <xdr:row>5</xdr:row>
                    <xdr:rowOff>85725</xdr:rowOff>
                  </from>
                  <to>
                    <xdr:col>0</xdr:col>
                    <xdr:colOff>1724025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5" name="Button 14">
              <controlPr defaultSize="0" print="0" autoFill="0" autoPict="0" macro="[0]!UpdateTaskSlips">
                <anchor moveWithCells="1" sizeWithCells="1">
                  <from>
                    <xdr:col>0</xdr:col>
                    <xdr:colOff>2000250</xdr:colOff>
                    <xdr:row>5</xdr:row>
                    <xdr:rowOff>85725</xdr:rowOff>
                  </from>
                  <to>
                    <xdr:col>2</xdr:col>
                    <xdr:colOff>219075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F30"/>
  <sheetViews>
    <sheetView workbookViewId="0"/>
  </sheetViews>
  <sheetFormatPr defaultRowHeight="12.75" x14ac:dyDescent="0.2"/>
  <cols>
    <col min="1" max="3" width="9.140625" style="32"/>
    <col min="4" max="4" width="32.7109375" style="32" customWidth="1"/>
    <col min="5" max="5" width="9.140625" style="32"/>
    <col min="6" max="6" width="32.7109375" style="32" customWidth="1"/>
    <col min="7" max="16384" width="9.140625" style="32"/>
  </cols>
  <sheetData>
    <row r="1" spans="1:6" x14ac:dyDescent="0.2">
      <c r="A1" s="72" t="s">
        <v>83</v>
      </c>
      <c r="B1" s="88">
        <v>1</v>
      </c>
      <c r="C1" s="73" t="s">
        <v>84</v>
      </c>
      <c r="D1" s="74" t="s">
        <v>111</v>
      </c>
      <c r="E1" s="74"/>
      <c r="F1" s="75"/>
    </row>
    <row r="2" spans="1:6" x14ac:dyDescent="0.2">
      <c r="A2" s="76" t="s">
        <v>85</v>
      </c>
      <c r="B2" s="69" t="s">
        <v>64</v>
      </c>
      <c r="C2" s="69"/>
      <c r="D2" s="69"/>
      <c r="E2" s="69"/>
      <c r="F2" s="77"/>
    </row>
    <row r="3" spans="1:6" x14ac:dyDescent="0.2">
      <c r="A3" s="78"/>
      <c r="B3" s="70"/>
      <c r="C3" s="70"/>
      <c r="D3" s="70"/>
      <c r="E3" s="70"/>
      <c r="F3" s="79"/>
    </row>
    <row r="4" spans="1:6" x14ac:dyDescent="0.2">
      <c r="A4" s="80"/>
      <c r="B4" s="71"/>
      <c r="C4" s="71"/>
      <c r="D4" s="71"/>
      <c r="E4" s="71"/>
      <c r="F4" s="81"/>
    </row>
    <row r="5" spans="1:6" x14ac:dyDescent="0.2">
      <c r="A5" s="86" t="str">
        <f>CONCATENATE("Responsible Person: ",'Sp1'!C15)</f>
        <v>Responsible Person: Danny Dev</v>
      </c>
      <c r="B5" s="68"/>
      <c r="C5" s="68"/>
      <c r="D5" s="68"/>
      <c r="E5" s="68"/>
      <c r="F5" s="87"/>
    </row>
    <row r="6" spans="1:6" ht="26.25" thickBot="1" x14ac:dyDescent="0.25">
      <c r="A6" s="82" t="s">
        <v>82</v>
      </c>
      <c r="B6" s="89">
        <v>5</v>
      </c>
      <c r="C6" s="84" t="s">
        <v>87</v>
      </c>
      <c r="D6" s="83"/>
      <c r="E6" s="84" t="s">
        <v>86</v>
      </c>
      <c r="F6" s="85"/>
    </row>
    <row r="8" spans="1:6" ht="13.5" thickBot="1" x14ac:dyDescent="0.25"/>
    <row r="9" spans="1:6" x14ac:dyDescent="0.2">
      <c r="A9" s="72" t="s">
        <v>83</v>
      </c>
      <c r="B9" s="88">
        <v>1</v>
      </c>
      <c r="C9" s="73" t="s">
        <v>84</v>
      </c>
      <c r="D9" s="74" t="s">
        <v>111</v>
      </c>
      <c r="E9" s="74"/>
      <c r="F9" s="75"/>
    </row>
    <row r="10" spans="1:6" x14ac:dyDescent="0.2">
      <c r="A10" s="76" t="s">
        <v>85</v>
      </c>
      <c r="B10" s="69" t="s">
        <v>65</v>
      </c>
      <c r="C10" s="69"/>
      <c r="D10" s="69"/>
      <c r="E10" s="69"/>
      <c r="F10" s="77"/>
    </row>
    <row r="11" spans="1:6" x14ac:dyDescent="0.2">
      <c r="A11" s="78"/>
      <c r="B11" s="70"/>
      <c r="C11" s="70"/>
      <c r="D11" s="70"/>
      <c r="E11" s="70"/>
      <c r="F11" s="79"/>
    </row>
    <row r="12" spans="1:6" x14ac:dyDescent="0.2">
      <c r="A12" s="80"/>
      <c r="B12" s="71"/>
      <c r="C12" s="71"/>
      <c r="D12" s="71"/>
      <c r="E12" s="71"/>
      <c r="F12" s="81"/>
    </row>
    <row r="13" spans="1:6" x14ac:dyDescent="0.2">
      <c r="A13" s="86" t="str">
        <f>CONCATENATE("Responsible Person: ",'Sp1'!C16)</f>
        <v>Responsible Person: Tina Tester</v>
      </c>
      <c r="B13" s="68"/>
      <c r="C13" s="68"/>
      <c r="D13" s="68"/>
      <c r="E13" s="68"/>
      <c r="F13" s="87"/>
    </row>
    <row r="14" spans="1:6" ht="26.25" thickBot="1" x14ac:dyDescent="0.25">
      <c r="A14" s="82" t="s">
        <v>82</v>
      </c>
      <c r="B14" s="89">
        <v>7</v>
      </c>
      <c r="C14" s="84" t="s">
        <v>87</v>
      </c>
      <c r="D14" s="83"/>
      <c r="E14" s="84" t="s">
        <v>86</v>
      </c>
      <c r="F14" s="85"/>
    </row>
    <row r="16" spans="1:6" ht="13.5" thickBot="1" x14ac:dyDescent="0.25"/>
    <row r="17" spans="1:6" x14ac:dyDescent="0.2">
      <c r="A17" s="72" t="s">
        <v>83</v>
      </c>
      <c r="B17" s="88">
        <v>2</v>
      </c>
      <c r="C17" s="73" t="s">
        <v>84</v>
      </c>
      <c r="D17" s="74" t="s">
        <v>113</v>
      </c>
      <c r="E17" s="74"/>
      <c r="F17" s="75"/>
    </row>
    <row r="18" spans="1:6" x14ac:dyDescent="0.2">
      <c r="A18" s="76" t="s">
        <v>85</v>
      </c>
      <c r="B18" s="69" t="s">
        <v>67</v>
      </c>
      <c r="C18" s="69"/>
      <c r="D18" s="69"/>
      <c r="E18" s="69"/>
      <c r="F18" s="77"/>
    </row>
    <row r="19" spans="1:6" x14ac:dyDescent="0.2">
      <c r="A19" s="78"/>
      <c r="B19" s="70"/>
      <c r="C19" s="70"/>
      <c r="D19" s="70"/>
      <c r="E19" s="70"/>
      <c r="F19" s="79"/>
    </row>
    <row r="20" spans="1:6" x14ac:dyDescent="0.2">
      <c r="A20" s="80"/>
      <c r="B20" s="71"/>
      <c r="C20" s="71"/>
      <c r="D20" s="71"/>
      <c r="E20" s="71"/>
      <c r="F20" s="81"/>
    </row>
    <row r="21" spans="1:6" x14ac:dyDescent="0.2">
      <c r="A21" s="86" t="str">
        <f>CONCATENATE("Responsible Person: ",'Sp1'!C17)</f>
        <v>Responsible Person: Danny Dev</v>
      </c>
      <c r="B21" s="68"/>
      <c r="C21" s="68"/>
      <c r="D21" s="68"/>
      <c r="E21" s="68"/>
      <c r="F21" s="87"/>
    </row>
    <row r="22" spans="1:6" ht="26.25" thickBot="1" x14ac:dyDescent="0.25">
      <c r="A22" s="82" t="s">
        <v>82</v>
      </c>
      <c r="B22" s="89">
        <v>12</v>
      </c>
      <c r="C22" s="84" t="s">
        <v>87</v>
      </c>
      <c r="D22" s="83"/>
      <c r="E22" s="84" t="s">
        <v>86</v>
      </c>
      <c r="F22" s="85"/>
    </row>
    <row r="24" spans="1:6" ht="13.5" thickBot="1" x14ac:dyDescent="0.25"/>
    <row r="25" spans="1:6" x14ac:dyDescent="0.2">
      <c r="A25" s="72" t="s">
        <v>83</v>
      </c>
      <c r="B25" s="88">
        <v>2</v>
      </c>
      <c r="C25" s="73" t="s">
        <v>84</v>
      </c>
      <c r="D25" s="74" t="s">
        <v>113</v>
      </c>
      <c r="E25" s="74"/>
      <c r="F25" s="75"/>
    </row>
    <row r="26" spans="1:6" x14ac:dyDescent="0.2">
      <c r="A26" s="76" t="s">
        <v>85</v>
      </c>
      <c r="B26" s="69" t="s">
        <v>68</v>
      </c>
      <c r="C26" s="69"/>
      <c r="D26" s="69"/>
      <c r="E26" s="69"/>
      <c r="F26" s="77"/>
    </row>
    <row r="27" spans="1:6" x14ac:dyDescent="0.2">
      <c r="A27" s="78"/>
      <c r="B27" s="70"/>
      <c r="C27" s="70"/>
      <c r="D27" s="70"/>
      <c r="E27" s="70"/>
      <c r="F27" s="79"/>
    </row>
    <row r="28" spans="1:6" x14ac:dyDescent="0.2">
      <c r="A28" s="80"/>
      <c r="B28" s="71"/>
      <c r="C28" s="71"/>
      <c r="D28" s="71"/>
      <c r="E28" s="71"/>
      <c r="F28" s="81"/>
    </row>
    <row r="29" spans="1:6" x14ac:dyDescent="0.2">
      <c r="A29" s="86" t="str">
        <f>CONCATENATE("Responsible Person: ",'Sp1'!C18)</f>
        <v xml:space="preserve">Responsible Person: </v>
      </c>
      <c r="B29" s="68"/>
      <c r="C29" s="68"/>
      <c r="D29" s="68"/>
      <c r="E29" s="68"/>
      <c r="F29" s="87"/>
    </row>
    <row r="30" spans="1:6" ht="26.25" thickBot="1" x14ac:dyDescent="0.25">
      <c r="A30" s="82" t="s">
        <v>82</v>
      </c>
      <c r="B30" s="89">
        <v>9</v>
      </c>
      <c r="C30" s="84" t="s">
        <v>87</v>
      </c>
      <c r="D30" s="83"/>
      <c r="E30" s="84" t="s">
        <v>86</v>
      </c>
      <c r="F30" s="85"/>
    </row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25</vt:i4>
      </vt:variant>
    </vt:vector>
  </HeadingPairs>
  <TitlesOfParts>
    <vt:vector size="31" baseType="lpstr">
      <vt:lpstr>发布计划</vt:lpstr>
      <vt:lpstr>Product Backlog</vt:lpstr>
      <vt:lpstr>燃尽图</vt:lpstr>
      <vt:lpstr>Sp1</vt:lpstr>
      <vt:lpstr>Sprint Sheet Template</vt:lpstr>
      <vt:lpstr>task slips</vt:lpstr>
      <vt:lpstr>Sp1!DoneDays</vt:lpstr>
      <vt:lpstr>'Sprint Sheet Template'!DoneDays</vt:lpstr>
      <vt:lpstr>Sp1!ImplementationDays</vt:lpstr>
      <vt:lpstr>'Sprint Sheet Template'!ImplementationDays</vt:lpstr>
      <vt:lpstr>'Product Backlog'!Print_Area</vt:lpstr>
      <vt:lpstr>ProductBacklog</vt:lpstr>
      <vt:lpstr>Sprint</vt:lpstr>
      <vt:lpstr>SprintCount</vt:lpstr>
      <vt:lpstr>SprintsInTrend</vt:lpstr>
      <vt:lpstr>Sp1!SprintTasks</vt:lpstr>
      <vt:lpstr>SprintTasks</vt:lpstr>
      <vt:lpstr>Status</vt:lpstr>
      <vt:lpstr>StoryName</vt:lpstr>
      <vt:lpstr>Sp1!TaskRows</vt:lpstr>
      <vt:lpstr>'Sprint Sheet Template'!TaskRows</vt:lpstr>
      <vt:lpstr>Sp1!TaskStatus</vt:lpstr>
      <vt:lpstr>TaskStatus</vt:lpstr>
      <vt:lpstr>Sp1!TaskStoryID</vt:lpstr>
      <vt:lpstr>TaskStoryID</vt:lpstr>
      <vt:lpstr>Sp1!TotalEffort</vt:lpstr>
      <vt:lpstr>'Sprint Sheet Template'!TotalEffort</vt:lpstr>
      <vt:lpstr>Sp1!TrendDays</vt:lpstr>
      <vt:lpstr>TrendDays</vt:lpstr>
      <vt:lpstr>TrendOffset</vt:lpstr>
      <vt:lpstr>TrendSprintCount</vt:lpstr>
    </vt:vector>
  </TitlesOfParts>
  <Company>SysOpen Digia Plc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creator>&lt; Your name &gt;</dc:creator>
  <dc:description>Template versio 1.0 Approval</dc:description>
  <cp:lastModifiedBy>Hao,Weiqi</cp:lastModifiedBy>
  <cp:revision>1</cp:revision>
  <cp:lastPrinted>2006-09-01T14:59:00Z</cp:lastPrinted>
  <dcterms:created xsi:type="dcterms:W3CDTF">1998-06-05T11:20:44Z</dcterms:created>
  <dcterms:modified xsi:type="dcterms:W3CDTF">2013-07-23T02:51:51Z</dcterms:modified>
  <cp:category>SysOpen Digia Standard Template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